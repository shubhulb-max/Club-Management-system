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" sheetId="1" r:id="rId4"/>
    <sheet state="visible" name="Registration Fee" sheetId="2" r:id="rId5"/>
    <sheet state="visible" name="DEC" sheetId="3" r:id="rId6"/>
    <sheet state="visible" name="2025 Jan-Dec" sheetId="4" r:id="rId7"/>
    <sheet state="visible" name="2026 Jan-Dec" sheetId="5" r:id="rId8"/>
    <sheet state="visible" name="Sheet1" sheetId="6" r:id="rId9"/>
    <sheet state="visible" name="Tracksuit" sheetId="7" r:id="rId10"/>
    <sheet state="visible" name="Pending" sheetId="8" r:id="rId11"/>
    <sheet state="visible" name="Tournament" sheetId="9" r:id="rId12"/>
    <sheet state="visible" name="Extra Match" sheetId="10" r:id="rId13"/>
    <sheet state="visible" name="Teams" sheetId="11" r:id="rId14"/>
    <sheet state="visible" name="Inventary" sheetId="12" r:id="rId15"/>
  </sheets>
  <definedNames>
    <definedName hidden="1" localSheetId="3" name="_xlnm._FilterDatabase">'2025 Jan-Dec'!$B$2:$P$2</definedName>
    <definedName hidden="1" localSheetId="4" name="_xlnm._FilterDatabase">'2026 Jan-Dec'!$B$2:$P$2</definedName>
    <definedName hidden="1" localSheetId="6" name="_xlnm._FilterDatabase">Tracksuit!$A$26:$D$26</definedName>
    <definedName hidden="1" localSheetId="7" name="_xlnm._FilterDatabase">Pending!$C$26:$D$57</definedName>
  </definedNames>
  <calcPr/>
  <extLst>
    <ext uri="GoogleSheetsCustomDataVersion2">
      <go:sheetsCustomData xmlns:go="http://customooxmlschemas.google.com/" r:id="rId16" roundtripDataChecksum="hgf2eYrPe0dGHxW8rAzIyuvmKGRmsIjs4npgMD/B59k="/>
    </ext>
  </extLst>
</workbook>
</file>

<file path=xl/sharedStrings.xml><?xml version="1.0" encoding="utf-8"?>
<sst xmlns="http://schemas.openxmlformats.org/spreadsheetml/2006/main" count="3061" uniqueCount="459">
  <si>
    <t>Team Budget Nov-2024 Collection</t>
  </si>
  <si>
    <t>Serial No.</t>
  </si>
  <si>
    <t>Member Name</t>
  </si>
  <si>
    <t>Received Date</t>
  </si>
  <si>
    <t>Amount</t>
  </si>
  <si>
    <t>Date</t>
  </si>
  <si>
    <t>Nov- Expenses</t>
  </si>
  <si>
    <t>By Whom</t>
  </si>
  <si>
    <t>Abhay Sir</t>
  </si>
  <si>
    <t>Refreshment</t>
  </si>
  <si>
    <t>Deepak Sir</t>
  </si>
  <si>
    <t>Amit Singh (Bade)</t>
  </si>
  <si>
    <t>Cricket Kit</t>
  </si>
  <si>
    <t>Shivam &amp; Deepak Sir</t>
  </si>
  <si>
    <t>Amit Singh (Chhotu)</t>
  </si>
  <si>
    <t>Wicket Keeping Gloves</t>
  </si>
  <si>
    <t>Shivam</t>
  </si>
  <si>
    <t>Atul Shukla</t>
  </si>
  <si>
    <t>SS Cricket Bat</t>
  </si>
  <si>
    <t>Gaurav Bhai</t>
  </si>
  <si>
    <t>Hasan Sir</t>
  </si>
  <si>
    <t>Hassan</t>
  </si>
  <si>
    <t>Kakad Sir</t>
  </si>
  <si>
    <t>Shalu</t>
  </si>
  <si>
    <t>Sunil</t>
  </si>
  <si>
    <t>Zikrul</t>
  </si>
  <si>
    <t>Nov Collection</t>
  </si>
  <si>
    <t>Prev Balance</t>
  </si>
  <si>
    <t>Total Collection Amount</t>
  </si>
  <si>
    <t>Total Expenses Amount</t>
  </si>
  <si>
    <t>Balance Amount</t>
  </si>
  <si>
    <t>Sr No</t>
  </si>
  <si>
    <t>Name</t>
  </si>
  <si>
    <t>Sunil Verma Sir</t>
  </si>
  <si>
    <t>Akash Bhaiya</t>
  </si>
  <si>
    <t>Madhu Sir</t>
  </si>
  <si>
    <t>Akhil Sir</t>
  </si>
  <si>
    <t>Amit Sir</t>
  </si>
  <si>
    <t>Ajeet Sir</t>
  </si>
  <si>
    <t>Karan Singh</t>
  </si>
  <si>
    <t>Sagar Sir</t>
  </si>
  <si>
    <t>Rishab Dube</t>
  </si>
  <si>
    <t>Imran Sir</t>
  </si>
  <si>
    <t>Rahul Bhai</t>
  </si>
  <si>
    <t>Ramiz (Sekhu)</t>
  </si>
  <si>
    <t>Kaushal Sir</t>
  </si>
  <si>
    <t>Mayank Verma</t>
  </si>
  <si>
    <t>Santosh Maurya</t>
  </si>
  <si>
    <t>Atik Ahmad</t>
  </si>
  <si>
    <t>Shahabuddin Ahmad</t>
  </si>
  <si>
    <t>Deepak sahni</t>
  </si>
  <si>
    <t>Umar dujana</t>
  </si>
  <si>
    <t>Gagan Prakash Sir</t>
  </si>
  <si>
    <t>Ayush</t>
  </si>
  <si>
    <t>Abishek Rai</t>
  </si>
  <si>
    <t>Aashit Srivastav</t>
  </si>
  <si>
    <t>Dr Kalim</t>
  </si>
  <si>
    <t>Sujal Gwasikoti</t>
  </si>
  <si>
    <t>Akash Pandey</t>
  </si>
  <si>
    <t>Mahendra</t>
  </si>
  <si>
    <t>Shivakant</t>
  </si>
  <si>
    <t>Saurabh Tripathi</t>
  </si>
  <si>
    <t>Apoorv Patel</t>
  </si>
  <si>
    <t>Dr Atul Yadav</t>
  </si>
  <si>
    <t>Chitransh Ranjan</t>
  </si>
  <si>
    <t>Shalu (Penalty)</t>
  </si>
  <si>
    <t>Abhay Shukla</t>
  </si>
  <si>
    <t>Saurabh Yadav</t>
  </si>
  <si>
    <t>Vivek Pandey</t>
  </si>
  <si>
    <t>Abhishek Pandey</t>
  </si>
  <si>
    <t>Shubham Singh</t>
  </si>
  <si>
    <t>Gyanendra Dixit</t>
  </si>
  <si>
    <t>Ashish Singh</t>
  </si>
  <si>
    <t>Total</t>
  </si>
  <si>
    <t>Team Budget Dec-2024 Collection</t>
  </si>
  <si>
    <t>Entry Fee paid</t>
  </si>
  <si>
    <t>Subs Fee paid</t>
  </si>
  <si>
    <t>Dec- Expenses</t>
  </si>
  <si>
    <t>Shivam &amp; Zikrul</t>
  </si>
  <si>
    <t>Ground Booked</t>
  </si>
  <si>
    <t>Extra kit &amp; Bat Repair</t>
  </si>
  <si>
    <t>Bat Knocking</t>
  </si>
  <si>
    <t>Refreshment &amp; First Aid</t>
  </si>
  <si>
    <t>Hasan &amp; Shivam</t>
  </si>
  <si>
    <t>Ground Booking</t>
  </si>
  <si>
    <t>Shivam &amp; Gaurav Bhai</t>
  </si>
  <si>
    <t>6 Balls</t>
  </si>
  <si>
    <t>Advance for Gosaiganj Ground</t>
  </si>
  <si>
    <t>Saud</t>
  </si>
  <si>
    <t>Exempt</t>
  </si>
  <si>
    <t>Dec Collection</t>
  </si>
  <si>
    <t>Team Budget Jan to Dec-2025 Collection</t>
  </si>
  <si>
    <t>Sr No.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</si>
  <si>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</si>
  <si>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</si>
  <si>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</si>
  <si>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</si>
  <si>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</si>
  <si>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</si>
  <si>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</si>
  <si>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</si>
  <si>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</si>
  <si>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</si>
  <si>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</si>
  <si>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</si>
  <si>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Equipements</t>
  </si>
  <si>
    <t>Track Suit</t>
  </si>
  <si>
    <t>Aashit Srivastava</t>
  </si>
  <si>
    <t>No Member</t>
  </si>
  <si>
    <t>Abhay Singh</t>
  </si>
  <si>
    <t>Absent</t>
  </si>
  <si>
    <t>Abhishek Rai</t>
  </si>
  <si>
    <t>Ajeet Verma</t>
  </si>
  <si>
    <t>Akhil Singh</t>
  </si>
  <si>
    <t>Amit Singh- Bhaiya</t>
  </si>
  <si>
    <t>Apporv Patel</t>
  </si>
  <si>
    <t>Ayush Mishra</t>
  </si>
  <si>
    <t>Deepak Kanaujiya</t>
  </si>
  <si>
    <t>Deepak Sahni</t>
  </si>
  <si>
    <t>Gaurav Tripathi</t>
  </si>
  <si>
    <t>Imran</t>
  </si>
  <si>
    <t>Kaushal Katiyar</t>
  </si>
  <si>
    <t>Madhusoodan Shukla</t>
  </si>
  <si>
    <t>Mahendra Yadav</t>
  </si>
  <si>
    <t>Rahul Verma</t>
  </si>
  <si>
    <t>Rishab Dubey</t>
  </si>
  <si>
    <t>Shivakant Mishra</t>
  </si>
  <si>
    <t>Shivam Singh</t>
  </si>
  <si>
    <t>Sunil Kumar</t>
  </si>
  <si>
    <t>Akash Maurya</t>
  </si>
  <si>
    <t>Sagar Mehra</t>
  </si>
  <si>
    <t>Umar Dujana</t>
  </si>
  <si>
    <t>Saurabha Tripathi</t>
  </si>
  <si>
    <t>Raman Shukla</t>
  </si>
  <si>
    <t>Pradeep</t>
  </si>
  <si>
    <t>Sahil-W</t>
  </si>
  <si>
    <t xml:space="preserve">Gagan Prakash </t>
  </si>
  <si>
    <t>Chandan Kakkar</t>
  </si>
  <si>
    <t>Sunil Verma</t>
  </si>
  <si>
    <t>Played</t>
  </si>
  <si>
    <t>Total collection</t>
  </si>
  <si>
    <t>Total expenses</t>
  </si>
  <si>
    <t>2025 - Expenses</t>
  </si>
  <si>
    <t>Item</t>
  </si>
  <si>
    <t>NJS Ground Booking</t>
  </si>
  <si>
    <t>Gorund</t>
  </si>
  <si>
    <t>For Lunch</t>
  </si>
  <si>
    <t>Snacks</t>
  </si>
  <si>
    <t>DD Gosaiganj Ground</t>
  </si>
  <si>
    <t>NJS Ground empire fees</t>
  </si>
  <si>
    <t>Bat Repair</t>
  </si>
  <si>
    <t>Kit/Repair</t>
  </si>
  <si>
    <t xml:space="preserve">Khargapur Ground Booking </t>
  </si>
  <si>
    <t>Sponsership By SBI</t>
  </si>
  <si>
    <t>Sponsership By Mectoi</t>
  </si>
  <si>
    <t>Khragrapur ground</t>
  </si>
  <si>
    <t>By Mgmt</t>
  </si>
  <si>
    <t>Sponsership By ICICI</t>
  </si>
  <si>
    <t>Jigyasa ground</t>
  </si>
  <si>
    <t>Sponsership By Indian Bank</t>
  </si>
  <si>
    <t>AJ 60 Balls Purchage</t>
  </si>
  <si>
    <t>Tracksuit by Suez</t>
  </si>
  <si>
    <t>SMR Ground</t>
  </si>
  <si>
    <t>Tracksuit by Shailendra</t>
  </si>
  <si>
    <t>Sage Ground</t>
  </si>
  <si>
    <t>Total Sponsership</t>
  </si>
  <si>
    <t>Spray</t>
  </si>
  <si>
    <t>Team Uniform</t>
  </si>
  <si>
    <t>Team Tracksuit</t>
  </si>
  <si>
    <t>Team Goods from Meerut</t>
  </si>
  <si>
    <t>DGI Ground</t>
  </si>
  <si>
    <t>Expenditure from SBI Amt</t>
  </si>
  <si>
    <t>Ny Mgmt</t>
  </si>
  <si>
    <t>PKD Lucknow</t>
  </si>
  <si>
    <t>Team Bat Repair</t>
  </si>
  <si>
    <t>6Pair AD and Supporters</t>
  </si>
  <si>
    <t>ORS Sachets</t>
  </si>
  <si>
    <t>Ziqrul Wedding Present</t>
  </si>
  <si>
    <t>Present</t>
  </si>
  <si>
    <t>Amitco Ball</t>
  </si>
  <si>
    <t>2 Team Bat</t>
  </si>
  <si>
    <t>KK11 Website Development-Shivam</t>
  </si>
  <si>
    <t>Website</t>
  </si>
  <si>
    <t>DD Gosaiganj Ground - Cancel</t>
  </si>
  <si>
    <t>ASBD Ground</t>
  </si>
  <si>
    <t>Team Kit</t>
  </si>
  <si>
    <t>CS Bat Replacement (Leg Guard,etc)</t>
  </si>
  <si>
    <t>Pink Ball (6)</t>
  </si>
  <si>
    <t>3AD and Bat Repari</t>
  </si>
  <si>
    <t>Scorpian Club Ground</t>
  </si>
  <si>
    <t>SS County Ball - Red(36)</t>
  </si>
  <si>
    <t>SS County Ball - White(36)</t>
  </si>
  <si>
    <t>SS County Ball - Pink(12)</t>
  </si>
  <si>
    <t>Team Kit-SS Keeping Gloves</t>
  </si>
  <si>
    <t>Lunch</t>
  </si>
  <si>
    <t>Lord Balaji Ground</t>
  </si>
  <si>
    <t>Keeping Gloves and Inner</t>
  </si>
  <si>
    <t>2 White Ball</t>
  </si>
  <si>
    <t>Team Budget Jan to Dec-2026 Collection</t>
  </si>
  <si>
    <t>Last Year Collection</t>
  </si>
  <si>
    <t>Last Year Expenditure</t>
  </si>
  <si>
    <t>DD Gosaiganj</t>
  </si>
  <si>
    <t>4 Batting Gloves - AP</t>
  </si>
  <si>
    <t>Blaze Willow Khargapur</t>
  </si>
  <si>
    <t>CSS Ground Matiyari</t>
  </si>
  <si>
    <t>Scorpian Club</t>
  </si>
  <si>
    <t>Sage Cricket Stadium</t>
  </si>
  <si>
    <t>Meerut Team Goods</t>
  </si>
  <si>
    <t>Members list</t>
  </si>
  <si>
    <t>Phone Number</t>
  </si>
  <si>
    <t xml:space="preserve">Tracksuit </t>
  </si>
  <si>
    <t>Extra</t>
  </si>
  <si>
    <t>Team</t>
  </si>
  <si>
    <t>Family</t>
  </si>
  <si>
    <t>Others</t>
  </si>
  <si>
    <t>S-36</t>
  </si>
  <si>
    <t>M-38</t>
  </si>
  <si>
    <t>L-40</t>
  </si>
  <si>
    <t>XL-42</t>
  </si>
  <si>
    <t>XXL-44</t>
  </si>
  <si>
    <t>Tracksuit Size</t>
  </si>
  <si>
    <t>Number</t>
  </si>
  <si>
    <t>Apporv</t>
  </si>
  <si>
    <t>Akhil</t>
  </si>
  <si>
    <t>Sandeep</t>
  </si>
  <si>
    <t>Amit Chhotu</t>
  </si>
  <si>
    <t>Karan</t>
  </si>
  <si>
    <t>Madhu</t>
  </si>
  <si>
    <t>Amit Bhaiya</t>
  </si>
  <si>
    <t xml:space="preserve">Gaurav </t>
  </si>
  <si>
    <t>Sagar</t>
  </si>
  <si>
    <t>Vijay</t>
  </si>
  <si>
    <t>Ramiz</t>
  </si>
  <si>
    <t>Aashit</t>
  </si>
  <si>
    <t>Saurabh</t>
  </si>
  <si>
    <t>Kaushak</t>
  </si>
  <si>
    <t>Deepak Kanaujia</t>
  </si>
  <si>
    <t>Sahil</t>
  </si>
  <si>
    <t>Rashmi</t>
  </si>
  <si>
    <t>Rishab</t>
  </si>
  <si>
    <t>Sparsh</t>
  </si>
  <si>
    <t>Shiva</t>
  </si>
  <si>
    <t>Shashwat</t>
  </si>
  <si>
    <t>Rahul</t>
  </si>
  <si>
    <t>Hasan</t>
  </si>
  <si>
    <t>Total Extra</t>
  </si>
  <si>
    <t>Dr Atul</t>
  </si>
  <si>
    <t>Remaining</t>
  </si>
  <si>
    <t>Deepak Sahani</t>
  </si>
  <si>
    <t>Shailendra</t>
  </si>
  <si>
    <t>Pramood</t>
  </si>
  <si>
    <t>Abhishek</t>
  </si>
  <si>
    <t>Amit Bade</t>
  </si>
  <si>
    <t>Vivek</t>
  </si>
  <si>
    <t>Shubham</t>
  </si>
  <si>
    <t>Akash</t>
  </si>
  <si>
    <t>Abhay</t>
  </si>
  <si>
    <t>Team KK - Track Suite List</t>
  </si>
  <si>
    <t>S.No.</t>
  </si>
  <si>
    <t>Player Name</t>
  </si>
  <si>
    <t>Lower- Size</t>
  </si>
  <si>
    <t xml:space="preserve">Number on T-Shirt </t>
  </si>
  <si>
    <t>Amit Singh Sir</t>
  </si>
  <si>
    <t>XL</t>
  </si>
  <si>
    <t>L</t>
  </si>
  <si>
    <t>02</t>
  </si>
  <si>
    <t>S</t>
  </si>
  <si>
    <t>65</t>
  </si>
  <si>
    <t>05</t>
  </si>
  <si>
    <t>06</t>
  </si>
  <si>
    <t>Akhil Singh Sir</t>
  </si>
  <si>
    <t>XXL</t>
  </si>
  <si>
    <t>07</t>
  </si>
  <si>
    <t xml:space="preserve">Ayush </t>
  </si>
  <si>
    <t>08</t>
  </si>
  <si>
    <t>09</t>
  </si>
  <si>
    <t>10</t>
  </si>
  <si>
    <t>Madhu Soodan Shukla</t>
  </si>
  <si>
    <t>11</t>
  </si>
  <si>
    <t xml:space="preserve">Sahil </t>
  </si>
  <si>
    <t>15</t>
  </si>
  <si>
    <t>Dr. Atul</t>
  </si>
  <si>
    <t>karan Singh</t>
  </si>
  <si>
    <t>M</t>
  </si>
  <si>
    <t>Rishabh</t>
  </si>
  <si>
    <t>Ramiz Raza</t>
  </si>
  <si>
    <t>Ashit Srivastav</t>
  </si>
  <si>
    <t>Hasan Raza Siddiqui</t>
  </si>
  <si>
    <t>30</t>
  </si>
  <si>
    <t>Amit Singh (Chotu)</t>
  </si>
  <si>
    <t>Saudur Rahman</t>
  </si>
  <si>
    <t>Dr. Kalim</t>
  </si>
  <si>
    <t>Zikrul Aman Khan</t>
  </si>
  <si>
    <t>99</t>
  </si>
  <si>
    <t>Month</t>
  </si>
  <si>
    <t>Monthly Fee Remaining</t>
  </si>
  <si>
    <t>Tournament Fee</t>
  </si>
  <si>
    <t>Tracksuit</t>
  </si>
  <si>
    <t>Total Remaining</t>
  </si>
  <si>
    <t>KK11</t>
  </si>
  <si>
    <t>SS Warriors</t>
  </si>
  <si>
    <t>Sep-Jan</t>
  </si>
  <si>
    <t>Team for Match at Scorpian Club Time - 07:30 A:M</t>
  </si>
  <si>
    <t>Team for Match at Scorpian Club Time - 02:00 P:M</t>
  </si>
  <si>
    <t>Dress: White</t>
  </si>
  <si>
    <t>Dress : Colour (orange)</t>
  </si>
  <si>
    <t>Team Player</t>
  </si>
  <si>
    <t>Nov-Jan</t>
  </si>
  <si>
    <t>Amit Singh</t>
  </si>
  <si>
    <t>Dec-Jan</t>
  </si>
  <si>
    <t xml:space="preserve">Kaushal Katiyar (C) </t>
  </si>
  <si>
    <t>Madhosudan</t>
  </si>
  <si>
    <t>-</t>
  </si>
  <si>
    <t>Gaurav</t>
  </si>
  <si>
    <t>Gaura v Tripathi</t>
  </si>
  <si>
    <t xml:space="preserve"> </t>
  </si>
  <si>
    <t>Match Date</t>
  </si>
  <si>
    <t>Friendship Torunament Season 1</t>
  </si>
  <si>
    <t>Players</t>
  </si>
  <si>
    <t>Extra Paid</t>
  </si>
  <si>
    <t>No</t>
  </si>
  <si>
    <t>Yes</t>
  </si>
  <si>
    <t xml:space="preserve">Shalu (C) </t>
  </si>
  <si>
    <t xml:space="preserve">Tournament Fee </t>
  </si>
  <si>
    <t>Amount (Rs)</t>
  </si>
  <si>
    <t>Dr Vishal Pratap Singh</t>
  </si>
  <si>
    <t>Team KK 11</t>
  </si>
  <si>
    <t>Ujjwal</t>
  </si>
  <si>
    <t>Satyendra</t>
  </si>
  <si>
    <t>Nikhil</t>
  </si>
  <si>
    <t>Mihir</t>
  </si>
  <si>
    <t>Madhoosudan Shukla</t>
  </si>
  <si>
    <t>Sunil OCOC</t>
  </si>
  <si>
    <t xml:space="preserve">Sunil Kumar </t>
  </si>
  <si>
    <t>Ankur Sain</t>
  </si>
  <si>
    <t>Monty</t>
  </si>
  <si>
    <t>Total Players</t>
  </si>
  <si>
    <t>Extra Payment by Players</t>
  </si>
  <si>
    <t>Payment By Players</t>
  </si>
  <si>
    <t xml:space="preserve">Amit Singh </t>
  </si>
  <si>
    <t>Extra Payment by Mgmt</t>
  </si>
  <si>
    <t>Total Expenditure</t>
  </si>
  <si>
    <t>Payment Details</t>
  </si>
  <si>
    <t>Tournament fee</t>
  </si>
  <si>
    <t>Extra Match</t>
  </si>
  <si>
    <t>NP</t>
  </si>
  <si>
    <t>Ajeet Kumar Verma</t>
  </si>
  <si>
    <t>Amit Singh Bhaiya</t>
  </si>
  <si>
    <t>Sunil Kumar OCOP</t>
  </si>
  <si>
    <t xml:space="preserve">Pradeep </t>
  </si>
  <si>
    <t>Nishant</t>
  </si>
  <si>
    <t>Kaushal</t>
  </si>
  <si>
    <t>Vishal(Deepak Kanaujiya)</t>
  </si>
  <si>
    <t>Deepak sahani</t>
  </si>
  <si>
    <t xml:space="preserve">Madhusoodan </t>
  </si>
  <si>
    <t>Deepak Kanaujiy</t>
  </si>
  <si>
    <t>Amit Singh DULB</t>
  </si>
  <si>
    <t xml:space="preserve">NP = </t>
  </si>
  <si>
    <t>Not Played</t>
  </si>
  <si>
    <t>Team KK11</t>
  </si>
  <si>
    <t>SS-Warriors</t>
  </si>
  <si>
    <t>SS</t>
  </si>
  <si>
    <t>Team DLB</t>
  </si>
  <si>
    <t>Team NV Fighter</t>
  </si>
  <si>
    <t>Hasan Raza</t>
  </si>
  <si>
    <t>Ajeet Verma(C)</t>
  </si>
  <si>
    <t>Akhil Singh (C)</t>
  </si>
  <si>
    <t>Rahul Verma (Wk)</t>
  </si>
  <si>
    <t>Deepak Kanaujiya (Wk)</t>
  </si>
  <si>
    <t xml:space="preserve">Ajeet Verma </t>
  </si>
  <si>
    <t>Zikrul (C)</t>
  </si>
  <si>
    <t>Saudur</t>
  </si>
  <si>
    <r>
      <rPr>
        <rFont val="Arial"/>
        <b/>
        <color rgb="FF000000"/>
        <sz val="11.0"/>
      </rPr>
      <t>13 सितम्बर</t>
    </r>
    <r>
      <rPr>
        <rFont val="Arial"/>
        <color rgb="FF000000"/>
        <sz val="11.0"/>
      </rPr>
      <t xml:space="preserve"> को स्थानीय निकाय निदेशालय एवं शासन के मध्य </t>
    </r>
    <r>
      <rPr>
        <rFont val="Arial"/>
        <b/>
        <color rgb="FF000000"/>
        <sz val="11.0"/>
      </rPr>
      <t>सेज क्रिकेट मैदान</t>
    </r>
    <r>
      <rPr>
        <rFont val="Arial"/>
        <color rgb="FF000000"/>
        <sz val="11.0"/>
      </rPr>
      <t xml:space="preserve"> में एक रात्रि क्रिकेट मैच आयोजित किया जा रहा है , जिसके द्रष्टिगत दिनांक </t>
    </r>
    <r>
      <rPr>
        <rFont val="Arial"/>
        <b/>
        <color rgb="FF000000"/>
        <sz val="11.0"/>
      </rPr>
      <t>30 अगस्त, 02, 06 एवं 09 सितम्बर</t>
    </r>
    <r>
      <rPr>
        <rFont val="Arial"/>
        <color rgb="FF000000"/>
        <sz val="11.0"/>
      </rPr>
      <t xml:space="preserve"> को KK क्रिकेट क्लब की 2 टीम (Team  DLB एवं Team NV Fighters) के मध्य Club के द्वारा </t>
    </r>
    <r>
      <rPr>
        <rFont val="Arial"/>
        <b/>
        <color rgb="FF000000"/>
        <sz val="11.0"/>
      </rPr>
      <t>सेज मैदान</t>
    </r>
    <r>
      <rPr>
        <rFont val="Arial"/>
        <color rgb="FF000000"/>
        <sz val="11.0"/>
      </rPr>
      <t xml:space="preserve"> में मैच आयोजित किया जा रहा है , जिसका विवरण निम्नवत है (</t>
    </r>
    <r>
      <rPr>
        <rFont val="Arial"/>
        <b/>
        <color rgb="FF000000"/>
        <sz val="11.0"/>
      </rPr>
      <t>इन मैच का कोई भी अतिरिक्त शुल्क टीम सदस्यों द्वारा नहीं लिया जायेगा</t>
    </r>
    <r>
      <rPr>
        <rFont val="Arial"/>
        <color rgb="FF000000"/>
        <sz val="11.0"/>
      </rPr>
      <t xml:space="preserve"> ):- </t>
    </r>
  </si>
  <si>
    <t xml:space="preserve">Ramiz </t>
  </si>
  <si>
    <t>क्रम स0</t>
  </si>
  <si>
    <t>दिनांक</t>
  </si>
  <si>
    <t>पाली</t>
  </si>
  <si>
    <r>
      <rPr>
        <rFont val="Mangal"/>
        <color rgb="FF000000"/>
        <sz val="11.0"/>
      </rPr>
      <t xml:space="preserve">ड्रेस ( टीम </t>
    </r>
    <r>
      <rPr>
        <rFont val="Calibri"/>
        <color rgb="FF000000"/>
        <sz val="14.0"/>
      </rPr>
      <t>DLB</t>
    </r>
    <r>
      <rPr>
        <rFont val="Mangal"/>
        <color rgb="FF000000"/>
        <sz val="11.0"/>
      </rPr>
      <t>)</t>
    </r>
  </si>
  <si>
    <r>
      <rPr>
        <rFont val="Mangal"/>
        <color rgb="FF000000"/>
        <sz val="11.0"/>
      </rPr>
      <t xml:space="preserve">ड्रेस ( टीम </t>
    </r>
    <r>
      <rPr>
        <rFont val="Calibri"/>
        <color rgb="FF000000"/>
        <sz val="14.0"/>
      </rPr>
      <t>NV</t>
    </r>
    <r>
      <rPr>
        <rFont val="Mangal"/>
        <color rgb="FF000000"/>
        <sz val="11.0"/>
      </rPr>
      <t xml:space="preserve">  फाइटर)</t>
    </r>
  </si>
  <si>
    <t xml:space="preserve">Akhil Singh(C) </t>
  </si>
  <si>
    <t>30 अगस्त</t>
  </si>
  <si>
    <r>
      <rPr>
        <rFont val="Mangal"/>
        <color rgb="FF000000"/>
        <sz val="11.0"/>
      </rPr>
      <t>2</t>
    </r>
    <r>
      <rPr>
        <rFont val="Calibri"/>
        <color rgb="FF000000"/>
        <sz val="14.0"/>
        <vertAlign val="superscript"/>
      </rPr>
      <t>nd</t>
    </r>
    <r>
      <rPr>
        <rFont val="Mangal"/>
        <color rgb="FF000000"/>
        <sz val="11.0"/>
      </rPr>
      <t xml:space="preserve"> (प्रातः 11 से 03 )</t>
    </r>
  </si>
  <si>
    <r>
      <rPr>
        <rFont val="Calibri"/>
        <color rgb="FF000000"/>
        <sz val="14.0"/>
      </rPr>
      <t>New</t>
    </r>
    <r>
      <rPr>
        <rFont val="Mangal"/>
        <color rgb="FF000000"/>
        <sz val="11.0"/>
      </rPr>
      <t xml:space="preserve"> </t>
    </r>
    <r>
      <rPr>
        <rFont val="Calibri"/>
        <color rgb="FF000000"/>
        <sz val="14.0"/>
      </rPr>
      <t>Blue</t>
    </r>
  </si>
  <si>
    <t>Orange</t>
  </si>
  <si>
    <t>02 सितम्बर</t>
  </si>
  <si>
    <t>रात्रि (सांय 07 से 11)</t>
  </si>
  <si>
    <r>
      <rPr>
        <rFont val="Calibri"/>
        <color rgb="FF000000"/>
        <sz val="14.0"/>
      </rPr>
      <t>New</t>
    </r>
    <r>
      <rPr>
        <rFont val="Mangal"/>
        <color rgb="FF000000"/>
        <sz val="11.0"/>
      </rPr>
      <t xml:space="preserve"> </t>
    </r>
    <r>
      <rPr>
        <rFont val="Calibri"/>
        <color rgb="FF000000"/>
        <sz val="14.0"/>
      </rPr>
      <t>Blue</t>
    </r>
  </si>
  <si>
    <t>06 सितम्बर</t>
  </si>
  <si>
    <r>
      <rPr>
        <rFont val="Mangal"/>
        <color rgb="FF000000"/>
        <sz val="11.0"/>
      </rPr>
      <t>1</t>
    </r>
    <r>
      <rPr>
        <rFont val="Calibri"/>
        <color rgb="FF000000"/>
        <sz val="14.0"/>
        <vertAlign val="superscript"/>
      </rPr>
      <t>st</t>
    </r>
    <r>
      <rPr>
        <rFont val="Mangal"/>
        <color rgb="FF000000"/>
        <sz val="11.0"/>
      </rPr>
      <t xml:space="preserve"> (प्रातः 06 से 10 )</t>
    </r>
  </si>
  <si>
    <r>
      <rPr>
        <rFont val="Calibri"/>
        <color rgb="FF000000"/>
        <sz val="14.0"/>
      </rPr>
      <t>New</t>
    </r>
    <r>
      <rPr>
        <rFont val="Mangal"/>
        <color rgb="FF000000"/>
        <sz val="11.0"/>
      </rPr>
      <t xml:space="preserve"> </t>
    </r>
    <r>
      <rPr>
        <rFont val="Calibri"/>
        <color rgb="FF000000"/>
        <sz val="14.0"/>
      </rPr>
      <t>Blue</t>
    </r>
  </si>
  <si>
    <t>09 सितम्बर</t>
  </si>
  <si>
    <r>
      <rPr>
        <rFont val="Calibri"/>
        <color rgb="FF000000"/>
        <sz val="14.0"/>
      </rPr>
      <t>New</t>
    </r>
    <r>
      <rPr>
        <rFont val="Mangal"/>
        <color rgb="FF000000"/>
        <sz val="11.0"/>
      </rPr>
      <t xml:space="preserve"> </t>
    </r>
    <r>
      <rPr>
        <rFont val="Calibri"/>
        <color rgb="FF000000"/>
        <sz val="14.0"/>
      </rPr>
      <t>Blue</t>
    </r>
  </si>
  <si>
    <t>Rahul Verma(wk)</t>
  </si>
  <si>
    <t>Aashit Srivastava(wk)</t>
  </si>
  <si>
    <t>Shivam Singh(VC-1)</t>
  </si>
  <si>
    <t>Zikrul(C)</t>
  </si>
  <si>
    <t>Vivek Pandey(wk)</t>
  </si>
  <si>
    <t>Ayush Mishra(wk)</t>
  </si>
  <si>
    <t>Apporv Patel(VC-1)</t>
  </si>
  <si>
    <t>Deepak Kanaujiya(wk)</t>
  </si>
  <si>
    <t>Akhil Singh(C)</t>
  </si>
  <si>
    <t>Dr Atul Yadav(VC-2)</t>
  </si>
  <si>
    <t>Abhishek Rai(wk)(VC-2)</t>
  </si>
  <si>
    <t>KK-11 Cricket Inventory</t>
  </si>
  <si>
    <t>Category</t>
  </si>
  <si>
    <t>Items</t>
  </si>
  <si>
    <t>Quantity</t>
  </si>
  <si>
    <t>Available</t>
  </si>
  <si>
    <t>Missing</t>
  </si>
  <si>
    <t>Destroy</t>
  </si>
  <si>
    <t>Distributed</t>
  </si>
  <si>
    <t>Ad and Supporters</t>
  </si>
  <si>
    <t>Pair AD and Supporters</t>
  </si>
  <si>
    <t>Bag</t>
  </si>
  <si>
    <r>
      <rPr>
        <rFont val="Arial"/>
        <color rgb="FF000000"/>
        <sz val="10.0"/>
      </rPr>
      <t xml:space="preserve">Kit Bag </t>
    </r>
    <r>
      <rPr>
        <rFont val="Arial"/>
        <color theme="1"/>
        <sz val="11.0"/>
      </rPr>
      <t>(NS-2, Shrey-1, SS-1)</t>
    </r>
  </si>
  <si>
    <t>Bat</t>
  </si>
  <si>
    <t>SS Bat Kashmiri Willow</t>
  </si>
  <si>
    <t>SS TON Bat Kashmiri Willow</t>
  </si>
  <si>
    <t>Gray Nicolls Bat Kashmiri Willow</t>
  </si>
  <si>
    <t>CG Bat</t>
  </si>
  <si>
    <t>Elbow</t>
  </si>
  <si>
    <t>SG Test Elbow Guard</t>
  </si>
  <si>
    <t>Gloves</t>
  </si>
  <si>
    <t>SS Superlite Batting Gloves (Youth)</t>
  </si>
  <si>
    <t>SS Platino Batting Gloves (Youth)</t>
  </si>
  <si>
    <t>Gray Nicolls Pro Edition Gloves (Adult)</t>
  </si>
  <si>
    <t>SS Gloves - CS</t>
  </si>
  <si>
    <t>AP Power 4.0</t>
  </si>
  <si>
    <t>AP Test Pro</t>
  </si>
  <si>
    <t>AP Genius Le</t>
  </si>
  <si>
    <t>Helmet</t>
  </si>
  <si>
    <t>DSC Helmet</t>
  </si>
  <si>
    <t>Shrey Helmet</t>
  </si>
  <si>
    <t>Keeping Gloves</t>
  </si>
  <si>
    <t>SS Wicket Keeping Gloves</t>
  </si>
  <si>
    <t>SG Wicket Keeping Gloves</t>
  </si>
  <si>
    <t>V Pro Keeping Gloves</t>
  </si>
  <si>
    <t>SS Wicket Keeping Gloves -Super</t>
  </si>
  <si>
    <t>Keeping Inner Gloves</t>
  </si>
  <si>
    <t>Gray Nicolls Wicket Keeping Inner Gloves</t>
  </si>
  <si>
    <t>SG Wicket Keeping Inner Gloves</t>
  </si>
  <si>
    <t>SS Wicket Keeping Inner Gloves</t>
  </si>
  <si>
    <t>Keeping Leg Guard</t>
  </si>
  <si>
    <t>Moonwalkr Wicket Keeping Leg Guard</t>
  </si>
  <si>
    <t>SS Players Edition</t>
  </si>
  <si>
    <t>Leg Guard</t>
  </si>
  <si>
    <t>SS Platino Leg Guard (Boys)</t>
  </si>
  <si>
    <t>SS Platino Leg Guard (Youth)</t>
  </si>
  <si>
    <t>AJ Leg Guard (Youth)</t>
  </si>
  <si>
    <t>AJ Leg Guard (Mens)</t>
  </si>
  <si>
    <t>CS Adult</t>
  </si>
  <si>
    <t>Rapid Arm</t>
  </si>
  <si>
    <t>Stumps</t>
  </si>
  <si>
    <t>NS Stumps</t>
  </si>
  <si>
    <t>AJ Stumps with Bails</t>
  </si>
  <si>
    <t>Thigh</t>
  </si>
  <si>
    <t xml:space="preserve">SG Ultimate Thigh Guard </t>
  </si>
  <si>
    <t>Moonwalkr Thigh Guard (Small)</t>
  </si>
  <si>
    <t>Moonwalkr Thigh Guard (Medium)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</si>
</sst>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[$₹]#,##0.00"/>
    <numFmt numFmtId="166" formatCode="[$₹]#,##0"/>
    <numFmt numFmtId="167" formatCode="&quot;₹&quot;\ #,##0"/>
    <numFmt numFmtId="168" formatCode="[$₹-820]#,##0.00"/>
    <numFmt numFmtId="169" formatCode="d/m/yyyy"/>
  </numFmts>
  <fonts count="36">
    <font>
      <sz val="10.0"/>
      <color rgb="FF000000"/>
      <name val="Arial"/>
      <scheme val="minor"/>
    </font>
    <font>
      <b/>
      <sz val="14.0"/>
      <color rgb="FFFF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rgb="FF38761D"/>
      <name val="Arial"/>
    </font>
    <font>
      <sz val="10.0"/>
      <color rgb="FF000000"/>
      <name val="Arial"/>
    </font>
    <font/>
    <font>
      <b/>
      <sz val="10.0"/>
      <color rgb="FFE69138"/>
      <name val="Arial"/>
    </font>
    <font>
      <b/>
      <sz val="10.0"/>
      <color theme="9"/>
      <name val="Arial"/>
    </font>
    <font>
      <b/>
      <sz val="10.0"/>
      <color rgb="FF0000FF"/>
      <name val="Arial"/>
    </font>
    <font>
      <strike/>
      <sz val="10.0"/>
      <color rgb="FF000000"/>
      <name val="Arial"/>
    </font>
    <font>
      <b/>
      <strike/>
      <sz val="10.0"/>
      <color theme="1"/>
      <name val="Arial"/>
    </font>
    <font>
      <strike/>
      <sz val="10.0"/>
      <color theme="1"/>
      <name val="Arial"/>
    </font>
    <font>
      <b/>
      <sz val="11.0"/>
      <color theme="1"/>
      <name val="Arial"/>
    </font>
    <font>
      <b/>
      <sz val="10.0"/>
      <color rgb="FF083C92"/>
      <name val="Arial"/>
    </font>
    <font>
      <b/>
      <sz val="10.0"/>
      <color rgb="FF7D5E02"/>
      <name val="Arial"/>
    </font>
    <font>
      <b/>
      <sz val="10.0"/>
      <color rgb="FF277E3E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8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24.0"/>
      <color rgb="FF000000"/>
      <name val="Arial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0.0"/>
      <color rgb="FF0000FF"/>
      <name val="Arial"/>
    </font>
    <font>
      <sz val="11.0"/>
      <color rgb="FF000000"/>
      <name val="Mangal"/>
    </font>
    <font>
      <sz val="14.0"/>
      <color rgb="FF000000"/>
      <name val="Calibri"/>
    </font>
    <font>
      <sz val="14.0"/>
      <color theme="1"/>
      <name val="Arial"/>
    </font>
    <font>
      <b/>
      <sz val="14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6B3AE"/>
        <bgColor rgb="FFF6B3A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AD9D6"/>
        <bgColor rgb="FFFAD9D6"/>
      </patternFill>
    </fill>
    <fill>
      <patternFill patternType="solid">
        <fgColor rgb="FFB4E4E8"/>
        <bgColor rgb="FFB4E4E8"/>
      </patternFill>
    </fill>
    <fill>
      <patternFill patternType="solid">
        <fgColor rgb="FF434343"/>
        <bgColor rgb="FF434343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C22114"/>
        <bgColor rgb="FFC22114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rgb="FFFDE49A"/>
        <bgColor rgb="FFFDE49A"/>
      </patternFill>
    </fill>
    <fill>
      <patternFill patternType="solid">
        <fgColor rgb="FFF28E85"/>
        <bgColor rgb="FFF28E8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6E3B6"/>
        <bgColor rgb="FFA6E3B6"/>
      </patternFill>
    </fill>
    <fill>
      <patternFill patternType="solid">
        <fgColor rgb="FFFFC499"/>
        <bgColor rgb="FFFFC499"/>
      </patternFill>
    </fill>
    <fill>
      <patternFill patternType="solid">
        <fgColor rgb="FFBEE2DC"/>
        <bgColor rgb="FFBEE2DC"/>
      </patternFill>
    </fill>
    <fill>
      <patternFill patternType="solid">
        <fgColor rgb="FFD9E6FC"/>
        <bgColor rgb="FFD9E6FC"/>
      </patternFill>
    </fill>
    <fill>
      <patternFill patternType="solid">
        <fgColor rgb="FFFFE599"/>
        <bgColor rgb="FFFFE599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</fills>
  <borders count="6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165" xfId="0" applyAlignment="1" applyBorder="1" applyFont="1" applyNumberFormat="1">
      <alignment vertical="center"/>
    </xf>
    <xf borderId="1" fillId="0" fontId="5" numFmtId="165" xfId="0" applyAlignment="1" applyBorder="1" applyFont="1" applyNumberFormat="1">
      <alignment vertical="center"/>
    </xf>
    <xf borderId="1" fillId="0" fontId="6" numFmtId="0" xfId="0" applyBorder="1" applyFont="1"/>
    <xf borderId="2" fillId="0" fontId="6" numFmtId="0" xfId="0" applyBorder="1" applyFont="1"/>
    <xf borderId="1" fillId="0" fontId="6" numFmtId="15" xfId="0" applyBorder="1" applyFont="1" applyNumberFormat="1"/>
    <xf borderId="1" fillId="0" fontId="2" numFmtId="166" xfId="0" applyAlignment="1" applyBorder="1" applyFont="1" applyNumberFormat="1">
      <alignment vertical="center"/>
    </xf>
    <xf borderId="1" fillId="0" fontId="6" numFmtId="0" xfId="0" applyAlignment="1" applyBorder="1" applyFont="1">
      <alignment readingOrder="0"/>
    </xf>
    <xf borderId="1" fillId="0" fontId="6" numFmtId="15" xfId="0" applyAlignment="1" applyBorder="1" applyFont="1" applyNumberFormat="1">
      <alignment readingOrder="0"/>
    </xf>
    <xf borderId="0" fillId="0" fontId="6" numFmtId="0" xfId="0" applyFont="1"/>
    <xf borderId="3" fillId="0" fontId="6" numFmtId="0" xfId="0" applyAlignment="1" applyBorder="1" applyFont="1">
      <alignment horizontal="center"/>
    </xf>
    <xf borderId="4" fillId="0" fontId="7" numFmtId="0" xfId="0" applyBorder="1" applyFont="1"/>
    <xf borderId="1" fillId="0" fontId="2" numFmtId="165" xfId="0" applyAlignment="1" applyBorder="1" applyFont="1" applyNumberFormat="1">
      <alignment horizontal="right" vertical="center"/>
    </xf>
    <xf borderId="1" fillId="0" fontId="8" numFmtId="165" xfId="0" applyAlignment="1" applyBorder="1" applyFont="1" applyNumberFormat="1">
      <alignment vertical="center"/>
    </xf>
    <xf borderId="1" fillId="0" fontId="9" numFmtId="165" xfId="0" applyAlignment="1" applyBorder="1" applyFont="1" applyNumberFormat="1">
      <alignment vertical="center"/>
    </xf>
    <xf borderId="1" fillId="0" fontId="10" numFmtId="165" xfId="0" applyAlignment="1" applyBorder="1" applyFont="1" applyNumberFormat="1">
      <alignment vertical="center"/>
    </xf>
    <xf borderId="0" fillId="0" fontId="1" numFmtId="166" xfId="0" applyAlignment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right" vertical="center"/>
    </xf>
    <xf borderId="0" fillId="0" fontId="3" numFmtId="0" xfId="0" applyFont="1"/>
    <xf borderId="1" fillId="2" fontId="2" numFmtId="166" xfId="0" applyAlignment="1" applyBorder="1" applyFill="1" applyFont="1" applyNumberFormat="1">
      <alignment horizontal="right"/>
    </xf>
    <xf borderId="1" fillId="0" fontId="2" numFmtId="166" xfId="0" applyAlignment="1" applyBorder="1" applyFont="1" applyNumberFormat="1">
      <alignment horizontal="right"/>
    </xf>
    <xf borderId="1" fillId="0" fontId="2" numFmtId="167" xfId="0" applyBorder="1" applyFont="1" applyNumberFormat="1"/>
    <xf borderId="1" fillId="3" fontId="2" numFmtId="166" xfId="0" applyAlignment="1" applyBorder="1" applyFill="1" applyFont="1" applyNumberFormat="1">
      <alignment vertical="center"/>
    </xf>
    <xf borderId="1" fillId="3" fontId="2" numFmtId="166" xfId="0" applyAlignment="1" applyBorder="1" applyFont="1" applyNumberFormat="1">
      <alignment horizontal="right"/>
    </xf>
    <xf borderId="1" fillId="4" fontId="2" numFmtId="167" xfId="0" applyBorder="1" applyFill="1" applyFont="1" applyNumberFormat="1"/>
    <xf borderId="0" fillId="0" fontId="11" numFmtId="0" xfId="0" applyFont="1"/>
    <xf borderId="1" fillId="0" fontId="6" numFmtId="167" xfId="0" applyBorder="1" applyFont="1" applyNumberFormat="1"/>
    <xf borderId="1" fillId="4" fontId="6" numFmtId="167" xfId="0" applyBorder="1" applyFont="1" applyNumberFormat="1"/>
    <xf borderId="5" fillId="0" fontId="2" numFmtId="166" xfId="0" applyAlignment="1" applyBorder="1" applyFont="1" applyNumberFormat="1">
      <alignment vertical="center"/>
    </xf>
    <xf borderId="5" fillId="0" fontId="2" numFmtId="166" xfId="0" applyAlignment="1" applyBorder="1" applyFont="1" applyNumberFormat="1">
      <alignment horizontal="right"/>
    </xf>
    <xf borderId="6" fillId="3" fontId="2" numFmtId="166" xfId="0" applyAlignment="1" applyBorder="1" applyFont="1" applyNumberFormat="1">
      <alignment horizontal="right"/>
    </xf>
    <xf borderId="7" fillId="3" fontId="2" numFmtId="166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horizontal="right"/>
    </xf>
    <xf borderId="1" fillId="5" fontId="12" numFmtId="0" xfId="0" applyAlignment="1" applyBorder="1" applyFill="1" applyFont="1">
      <alignment horizontal="center" vertical="center"/>
    </xf>
    <xf borderId="1" fillId="5" fontId="13" numFmtId="166" xfId="0" applyAlignment="1" applyBorder="1" applyFont="1" applyNumberFormat="1">
      <alignment vertical="center"/>
    </xf>
    <xf borderId="1" fillId="5" fontId="13" numFmtId="166" xfId="0" applyAlignment="1" applyBorder="1" applyFont="1" applyNumberFormat="1">
      <alignment horizontal="right"/>
    </xf>
    <xf borderId="1" fillId="5" fontId="13" numFmtId="167" xfId="0" applyBorder="1" applyFont="1" applyNumberFormat="1"/>
    <xf borderId="1" fillId="5" fontId="11" numFmtId="167" xfId="0" applyBorder="1" applyFont="1" applyNumberFormat="1"/>
    <xf borderId="1" fillId="0" fontId="11" numFmtId="167" xfId="0" applyBorder="1" applyFont="1" applyNumberFormat="1"/>
    <xf borderId="7" fillId="5" fontId="13" numFmtId="166" xfId="0" applyAlignment="1" applyBorder="1" applyFont="1" applyNumberFormat="1">
      <alignment horizontal="right"/>
    </xf>
    <xf borderId="1" fillId="5" fontId="3" numFmtId="0" xfId="0" applyAlignment="1" applyBorder="1" applyFont="1">
      <alignment horizontal="center" vertical="center"/>
    </xf>
    <xf borderId="1" fillId="6" fontId="13" numFmtId="166" xfId="0" applyAlignment="1" applyBorder="1" applyFill="1" applyFont="1" applyNumberFormat="1">
      <alignment horizontal="right"/>
    </xf>
    <xf borderId="7" fillId="6" fontId="13" numFmtId="166" xfId="0" applyAlignment="1" applyBorder="1" applyFont="1" applyNumberFormat="1">
      <alignment horizontal="right"/>
    </xf>
    <xf borderId="1" fillId="0" fontId="13" numFmtId="166" xfId="0" applyAlignment="1" applyBorder="1" applyFont="1" applyNumberFormat="1">
      <alignment horizontal="right"/>
    </xf>
    <xf borderId="1" fillId="5" fontId="13" numFmtId="0" xfId="0" applyAlignment="1" applyBorder="1" applyFont="1">
      <alignment vertical="center"/>
    </xf>
    <xf borderId="1" fillId="5" fontId="13" numFmtId="165" xfId="0" applyAlignment="1" applyBorder="1" applyFont="1" applyNumberFormat="1">
      <alignment horizontal="right"/>
    </xf>
    <xf borderId="1" fillId="6" fontId="2" numFmtId="165" xfId="0" applyAlignment="1" applyBorder="1" applyFont="1" applyNumberFormat="1">
      <alignment horizontal="right"/>
    </xf>
    <xf borderId="1" fillId="6" fontId="2" numFmtId="166" xfId="0" applyAlignment="1" applyBorder="1" applyFont="1" applyNumberFormat="1">
      <alignment horizontal="right"/>
    </xf>
    <xf borderId="1" fillId="0" fontId="2" numFmtId="165" xfId="0" applyAlignment="1" applyBorder="1" applyFont="1" applyNumberFormat="1">
      <alignment horizontal="right"/>
    </xf>
    <xf borderId="8" fillId="5" fontId="3" numFmtId="0" xfId="0" applyAlignment="1" applyBorder="1" applyFont="1">
      <alignment horizontal="center" vertical="center"/>
    </xf>
    <xf borderId="8" fillId="5" fontId="13" numFmtId="0" xfId="0" applyAlignment="1" applyBorder="1" applyFont="1">
      <alignment vertical="center"/>
    </xf>
    <xf borderId="9" fillId="5" fontId="13" numFmtId="166" xfId="0" applyAlignment="1" applyBorder="1" applyFont="1" applyNumberFormat="1">
      <alignment horizontal="right"/>
    </xf>
    <xf borderId="9" fillId="5" fontId="13" numFmtId="165" xfId="0" applyAlignment="1" applyBorder="1" applyFont="1" applyNumberFormat="1">
      <alignment horizontal="right"/>
    </xf>
    <xf borderId="9" fillId="6" fontId="2" numFmtId="165" xfId="0" applyAlignment="1" applyBorder="1" applyFont="1" applyNumberFormat="1">
      <alignment horizontal="right"/>
    </xf>
    <xf borderId="9" fillId="6" fontId="2" numFmtId="166" xfId="0" applyAlignment="1" applyBorder="1" applyFont="1" applyNumberFormat="1">
      <alignment horizontal="right"/>
    </xf>
    <xf borderId="10" fillId="0" fontId="2" numFmtId="165" xfId="0" applyAlignment="1" applyBorder="1" applyFont="1" applyNumberFormat="1">
      <alignment horizontal="right"/>
    </xf>
    <xf borderId="10" fillId="0" fontId="2" numFmtId="166" xfId="0" applyAlignment="1" applyBorder="1" applyFont="1" applyNumberFormat="1">
      <alignment horizontal="right"/>
    </xf>
    <xf borderId="10" fillId="0" fontId="2" numFmtId="167" xfId="0" applyBorder="1" applyFont="1" applyNumberFormat="1"/>
    <xf borderId="0" fillId="0" fontId="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10" fillId="0" fontId="13" numFmtId="166" xfId="0" applyAlignment="1" applyBorder="1" applyFont="1" applyNumberFormat="1">
      <alignment horizontal="right"/>
    </xf>
    <xf borderId="10" fillId="0" fontId="13" numFmtId="165" xfId="0" applyAlignment="1" applyBorder="1" applyFont="1" applyNumberFormat="1">
      <alignment horizontal="right"/>
    </xf>
    <xf borderId="10" fillId="0" fontId="8" numFmtId="166" xfId="0" applyAlignment="1" applyBorder="1" applyFont="1" applyNumberFormat="1">
      <alignment horizontal="right" vertical="center"/>
    </xf>
    <xf borderId="0" fillId="0" fontId="6" numFmtId="166" xfId="0" applyAlignment="1" applyFont="1" applyNumberFormat="1">
      <alignment horizontal="right"/>
    </xf>
    <xf borderId="0" fillId="0" fontId="6" numFmtId="166" xfId="0" applyFont="1" applyNumberFormat="1"/>
    <xf borderId="0" fillId="0" fontId="2" numFmtId="0" xfId="0" applyFont="1"/>
    <xf borderId="0" fillId="0" fontId="6" numFmtId="168" xfId="0" applyFont="1" applyNumberFormat="1"/>
    <xf borderId="0" fillId="0" fontId="3" numFmtId="166" xfId="0" applyFont="1" applyNumberFormat="1"/>
    <xf borderId="1" fillId="0" fontId="3" numFmtId="0" xfId="0" applyAlignment="1" applyBorder="1" applyFont="1">
      <alignment horizontal="left" vertical="center"/>
    </xf>
    <xf borderId="1" fillId="0" fontId="3" numFmtId="166" xfId="0" applyAlignment="1" applyBorder="1" applyFont="1" applyNumberFormat="1">
      <alignment horizontal="left" vertical="center"/>
    </xf>
    <xf borderId="0" fillId="0" fontId="14" numFmtId="0" xfId="0" applyAlignment="1" applyFont="1">
      <alignment horizontal="left"/>
    </xf>
    <xf borderId="1" fillId="0" fontId="2" numFmtId="169" xfId="0" applyAlignment="1" applyBorder="1" applyFont="1" applyNumberFormat="1">
      <alignment vertical="center"/>
    </xf>
    <xf borderId="0" fillId="0" fontId="9" numFmtId="166" xfId="0" applyAlignment="1" applyFont="1" applyNumberFormat="1">
      <alignment horizontal="right" vertical="center"/>
    </xf>
    <xf borderId="1" fillId="0" fontId="15" numFmtId="166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vertical="center"/>
    </xf>
    <xf borderId="2" fillId="0" fontId="16" numFmtId="166" xfId="0" applyAlignment="1" applyBorder="1" applyFont="1" applyNumberFormat="1">
      <alignment horizontal="right" vertical="center"/>
    </xf>
    <xf borderId="5" fillId="0" fontId="2" numFmtId="0" xfId="0" applyAlignment="1" applyBorder="1" applyFont="1">
      <alignment vertical="center"/>
    </xf>
    <xf borderId="5" fillId="0" fontId="17" numFmtId="166" xfId="0" applyAlignment="1" applyBorder="1" applyFont="1" applyNumberFormat="1">
      <alignment horizontal="right" vertical="center"/>
    </xf>
    <xf borderId="1" fillId="0" fontId="17" numFmtId="166" xfId="0" applyAlignment="1" applyBorder="1" applyFont="1" applyNumberFormat="1">
      <alignment horizontal="right" vertical="center"/>
    </xf>
    <xf borderId="0" fillId="0" fontId="17" numFmtId="166" xfId="0" applyAlignment="1" applyFont="1" applyNumberFormat="1">
      <alignment horizontal="right" vertical="center"/>
    </xf>
    <xf borderId="1" fillId="7" fontId="6" numFmtId="0" xfId="0" applyBorder="1" applyFill="1" applyFont="1"/>
    <xf borderId="1" fillId="7" fontId="6" numFmtId="166" xfId="0" applyAlignment="1" applyBorder="1" applyFont="1" applyNumberFormat="1">
      <alignment horizontal="right"/>
    </xf>
    <xf borderId="5" fillId="0" fontId="3" numFmtId="0" xfId="0" applyAlignment="1" applyBorder="1" applyFont="1">
      <alignment horizontal="center" vertical="center"/>
    </xf>
    <xf borderId="5" fillId="0" fontId="2" numFmtId="169" xfId="0" applyAlignment="1" applyBorder="1" applyFont="1" applyNumberFormat="1">
      <alignment vertical="center"/>
    </xf>
    <xf borderId="7" fillId="7" fontId="18" numFmtId="0" xfId="0" applyBorder="1" applyFont="1"/>
    <xf borderId="7" fillId="7" fontId="18" numFmtId="166" xfId="0" applyAlignment="1" applyBorder="1" applyFont="1" applyNumberFormat="1">
      <alignment horizontal="right"/>
    </xf>
    <xf borderId="8" fillId="3" fontId="18" numFmtId="0" xfId="0" applyBorder="1" applyFont="1"/>
    <xf borderId="8" fillId="3" fontId="18" numFmtId="166" xfId="0" applyAlignment="1" applyBorder="1" applyFont="1" applyNumberFormat="1">
      <alignment horizontal="right"/>
    </xf>
    <xf borderId="1" fillId="8" fontId="2" numFmtId="0" xfId="0" applyAlignment="1" applyBorder="1" applyFill="1" applyFont="1">
      <alignment vertical="center"/>
    </xf>
    <xf borderId="1" fillId="8" fontId="6" numFmtId="166" xfId="0" applyAlignment="1" applyBorder="1" applyFont="1" applyNumberFormat="1">
      <alignment horizontal="right"/>
    </xf>
    <xf borderId="1" fillId="8" fontId="6" numFmtId="0" xfId="0" applyBorder="1" applyFont="1"/>
    <xf borderId="1" fillId="8" fontId="18" numFmtId="0" xfId="0" applyBorder="1" applyFont="1"/>
    <xf borderId="1" fillId="8" fontId="18" numFmtId="166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vertical="center"/>
    </xf>
    <xf borderId="0" fillId="0" fontId="6" numFmtId="0" xfId="0" applyAlignment="1" applyFont="1">
      <alignment horizontal="right"/>
    </xf>
    <xf borderId="1" fillId="0" fontId="6" numFmtId="169" xfId="0" applyBorder="1" applyFont="1" applyNumberFormat="1"/>
    <xf borderId="10" fillId="0" fontId="2" numFmtId="166" xfId="0" applyAlignment="1" applyBorder="1" applyFont="1" applyNumberFormat="1">
      <alignment vertical="center"/>
    </xf>
    <xf borderId="0" fillId="0" fontId="1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/>
    </xf>
    <xf borderId="1" fillId="0" fontId="2" numFmtId="166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center" readingOrder="0" vertical="center"/>
    </xf>
    <xf borderId="1" fillId="0" fontId="13" numFmtId="167" xfId="0" applyBorder="1" applyFont="1" applyNumberFormat="1"/>
    <xf borderId="1" fillId="0" fontId="2" numFmtId="169" xfId="0" applyAlignment="1" applyBorder="1" applyFont="1" applyNumberForma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6" xfId="0" applyAlignment="1" applyBorder="1" applyFont="1" applyNumberFormat="1">
      <alignment readingOrder="0" vertical="center"/>
    </xf>
    <xf borderId="5" fillId="0" fontId="2" numFmtId="169" xfId="0" applyAlignment="1" applyBorder="1" applyFont="1" applyNumberFormat="1">
      <alignment readingOrder="0" vertical="center"/>
    </xf>
    <xf borderId="5" fillId="0" fontId="2" numFmtId="0" xfId="0" applyAlignment="1" applyBorder="1" applyFont="1">
      <alignment readingOrder="0" vertical="center"/>
    </xf>
    <xf borderId="5" fillId="0" fontId="2" numFmtId="166" xfId="0" applyAlignment="1" applyBorder="1" applyFont="1" applyNumberFormat="1">
      <alignment readingOrder="0" vertical="center"/>
    </xf>
    <xf borderId="0" fillId="9" fontId="1" numFmtId="166" xfId="0" applyAlignment="1" applyFill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0" fillId="0" fontId="19" numFmtId="0" xfId="0" applyFont="1"/>
    <xf borderId="3" fillId="7" fontId="20" numFmtId="0" xfId="0" applyAlignment="1" applyBorder="1" applyFont="1">
      <alignment horizontal="right"/>
    </xf>
    <xf borderId="3" fillId="7" fontId="20" numFmtId="0" xfId="0" applyAlignment="1" applyBorder="1" applyFont="1">
      <alignment horizontal="left"/>
    </xf>
    <xf borderId="11" fillId="0" fontId="7" numFmtId="0" xfId="0" applyBorder="1" applyFont="1"/>
    <xf borderId="3" fillId="10" fontId="21" numFmtId="0" xfId="0" applyAlignment="1" applyBorder="1" applyFill="1" applyFont="1">
      <alignment horizontal="center" vertical="center"/>
    </xf>
    <xf borderId="1" fillId="10" fontId="21" numFmtId="0" xfId="0" applyAlignment="1" applyBorder="1" applyFont="1">
      <alignment horizontal="center" vertical="center"/>
    </xf>
    <xf borderId="1" fillId="11" fontId="18" numFmtId="0" xfId="0" applyBorder="1" applyFill="1" applyFont="1"/>
    <xf borderId="1" fillId="11" fontId="6" numFmtId="0" xfId="0" applyBorder="1" applyFont="1"/>
    <xf borderId="7" fillId="10" fontId="21" numFmtId="0" xfId="0" applyAlignment="1" applyBorder="1" applyFont="1">
      <alignment horizontal="center" vertical="center"/>
    </xf>
    <xf borderId="6" fillId="10" fontId="21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0" fillId="0" fontId="19" numFmtId="0" xfId="0" applyAlignment="1" applyFont="1">
      <alignment readingOrder="0"/>
    </xf>
    <xf borderId="3" fillId="12" fontId="22" numFmtId="0" xfId="0" applyAlignment="1" applyBorder="1" applyFill="1" applyFont="1">
      <alignment horizontal="center" vertical="center"/>
    </xf>
    <xf borderId="1" fillId="4" fontId="23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1" fillId="10" fontId="14" numFmtId="0" xfId="0" applyAlignment="1" applyBorder="1" applyFont="1">
      <alignment horizontal="center" vertical="center"/>
    </xf>
    <xf borderId="1" fillId="13" fontId="6" numFmtId="0" xfId="0" applyAlignment="1" applyBorder="1" applyFill="1" applyFont="1">
      <alignment horizontal="center" vertical="center"/>
    </xf>
    <xf borderId="1" fillId="13" fontId="6" numFmtId="49" xfId="0" applyAlignment="1" applyBorder="1" applyFont="1" applyNumberFormat="1">
      <alignment horizontal="center" vertical="center"/>
    </xf>
    <xf borderId="1" fillId="3" fontId="14" numFmtId="0" xfId="0" applyAlignment="1" applyBorder="1" applyFont="1">
      <alignment horizontal="center" vertical="center"/>
    </xf>
    <xf borderId="8" fillId="10" fontId="6" numFmtId="0" xfId="0" applyBorder="1" applyFont="1"/>
    <xf borderId="1" fillId="14" fontId="6" numFmtId="0" xfId="0" applyAlignment="1" applyBorder="1" applyFill="1" applyFont="1">
      <alignment horizontal="center" vertical="center"/>
    </xf>
    <xf borderId="1" fillId="3" fontId="23" numFmtId="0" xfId="0" applyAlignment="1" applyBorder="1" applyFont="1">
      <alignment horizontal="center" vertical="center"/>
    </xf>
    <xf borderId="1" fillId="3" fontId="24" numFmtId="0" xfId="0" applyAlignment="1" applyBorder="1" applyFont="1">
      <alignment horizontal="center" vertical="center"/>
    </xf>
    <xf borderId="1" fillId="13" fontId="24" numFmtId="0" xfId="0" applyAlignment="1" applyBorder="1" applyFont="1">
      <alignment horizontal="center" vertical="center"/>
    </xf>
    <xf borderId="7" fillId="10" fontId="14" numFmtId="166" xfId="0" applyAlignment="1" applyBorder="1" applyFont="1" applyNumberFormat="1">
      <alignment horizontal="left" shrinkToFit="0" vertical="center" wrapText="1"/>
    </xf>
    <xf borderId="1" fillId="10" fontId="21" numFmtId="0" xfId="0" applyAlignment="1" applyBorder="1" applyFont="1">
      <alignment horizontal="left" shrinkToFit="0" vertical="center" wrapText="1"/>
    </xf>
    <xf borderId="7" fillId="10" fontId="21" numFmtId="0" xfId="0" applyAlignment="1" applyBorder="1" applyFont="1">
      <alignment horizontal="left" shrinkToFit="0" vertical="center" wrapText="1"/>
    </xf>
    <xf borderId="3" fillId="15" fontId="25" numFmtId="0" xfId="0" applyAlignment="1" applyBorder="1" applyFill="1" applyFont="1">
      <alignment horizontal="center"/>
    </xf>
    <xf borderId="3" fillId="16" fontId="25" numFmtId="0" xfId="0" applyAlignment="1" applyBorder="1" applyFill="1" applyFont="1">
      <alignment horizontal="center"/>
    </xf>
    <xf borderId="1" fillId="17" fontId="14" numFmtId="166" xfId="0" applyAlignment="1" applyBorder="1" applyFill="1" applyFont="1" applyNumberFormat="1">
      <alignment vertical="center"/>
    </xf>
    <xf borderId="1" fillId="11" fontId="26" numFmtId="166" xfId="0" applyAlignment="1" applyBorder="1" applyFont="1" applyNumberFormat="1">
      <alignment horizontal="right"/>
    </xf>
    <xf borderId="1" fillId="11" fontId="26" numFmtId="167" xfId="0" applyAlignment="1" applyBorder="1" applyFont="1" applyNumberFormat="1">
      <alignment horizontal="right"/>
    </xf>
    <xf borderId="1" fillId="17" fontId="20" numFmtId="167" xfId="0" applyBorder="1" applyFont="1" applyNumberFormat="1"/>
    <xf borderId="3" fillId="15" fontId="27" numFmtId="0" xfId="0" applyAlignment="1" applyBorder="1" applyFont="1">
      <alignment horizontal="center"/>
    </xf>
    <xf borderId="3" fillId="16" fontId="28" numFmtId="0" xfId="0" applyAlignment="1" applyBorder="1" applyFont="1">
      <alignment horizontal="center"/>
    </xf>
    <xf borderId="1" fillId="17" fontId="14" numFmtId="0" xfId="0" applyAlignment="1" applyBorder="1" applyFont="1">
      <alignment vertical="center"/>
    </xf>
    <xf borderId="3" fillId="15" fontId="21" numFmtId="0" xfId="0" applyAlignment="1" applyBorder="1" applyFont="1">
      <alignment horizontal="left"/>
    </xf>
    <xf borderId="3" fillId="16" fontId="21" numFmtId="0" xfId="0" applyBorder="1" applyFont="1"/>
    <xf borderId="1" fillId="11" fontId="28" numFmtId="167" xfId="0" applyBorder="1" applyFont="1" applyNumberFormat="1"/>
    <xf borderId="1" fillId="15" fontId="28" numFmtId="0" xfId="0" applyAlignment="1" applyBorder="1" applyFont="1">
      <alignment horizontal="center"/>
    </xf>
    <xf borderId="1" fillId="16" fontId="28" numFmtId="0" xfId="0" applyAlignment="1" applyBorder="1" applyFont="1">
      <alignment horizontal="center"/>
    </xf>
    <xf borderId="1" fillId="15" fontId="28" numFmtId="0" xfId="0" applyBorder="1" applyFont="1"/>
    <xf borderId="1" fillId="16" fontId="28" numFmtId="0" xfId="0" applyBorder="1" applyFont="1"/>
    <xf borderId="7" fillId="11" fontId="26" numFmtId="167" xfId="0" applyAlignment="1" applyBorder="1" applyFont="1" applyNumberFormat="1">
      <alignment horizontal="right"/>
    </xf>
    <xf borderId="1" fillId="10" fontId="29" numFmtId="0" xfId="0" applyAlignment="1" applyBorder="1" applyFont="1">
      <alignment horizontal="center"/>
    </xf>
    <xf borderId="1" fillId="10" fontId="29" numFmtId="167" xfId="0" applyBorder="1" applyFont="1" applyNumberFormat="1"/>
    <xf borderId="0" fillId="0" fontId="30" numFmtId="0" xfId="0" applyFont="1"/>
    <xf borderId="3" fillId="10" fontId="29" numFmtId="0" xfId="0" applyAlignment="1" applyBorder="1" applyFont="1">
      <alignment horizontal="center"/>
    </xf>
    <xf borderId="1" fillId="15" fontId="30" numFmtId="0" xfId="0" applyBorder="1" applyFont="1"/>
    <xf borderId="1" fillId="15" fontId="30" numFmtId="0" xfId="0" applyAlignment="1" applyBorder="1" applyFont="1">
      <alignment horizontal="center"/>
    </xf>
    <xf borderId="1" fillId="16" fontId="30" numFmtId="0" xfId="0" applyBorder="1" applyFont="1"/>
    <xf borderId="1" fillId="16" fontId="30" numFmtId="0" xfId="0" applyAlignment="1" applyBorder="1" applyFont="1">
      <alignment horizontal="center"/>
    </xf>
    <xf borderId="3" fillId="0" fontId="21" numFmtId="0" xfId="0" applyAlignment="1" applyBorder="1" applyFont="1">
      <alignment horizontal="center"/>
    </xf>
    <xf borderId="3" fillId="18" fontId="21" numFmtId="0" xfId="0" applyAlignment="1" applyBorder="1" applyFill="1" applyFont="1">
      <alignment horizontal="center"/>
    </xf>
    <xf borderId="8" fillId="18" fontId="21" numFmtId="0" xfId="0" applyAlignment="1" applyBorder="1" applyFont="1">
      <alignment horizontal="center"/>
    </xf>
    <xf borderId="5" fillId="0" fontId="6" numFmtId="15" xfId="0" applyBorder="1" applyFont="1" applyNumberFormat="1"/>
    <xf borderId="6" fillId="2" fontId="18" numFmtId="0" xfId="0" applyAlignment="1" applyBorder="1" applyFont="1">
      <alignment horizontal="center" vertical="center"/>
    </xf>
    <xf borderId="6" fillId="2" fontId="18" numFmtId="15" xfId="0" applyAlignment="1" applyBorder="1" applyFont="1" applyNumberFormat="1">
      <alignment horizontal="center" vertical="center"/>
    </xf>
    <xf borderId="8" fillId="2" fontId="18" numFmtId="15" xfId="0" applyAlignment="1" applyBorder="1" applyFont="1" applyNumberFormat="1">
      <alignment horizontal="center" vertical="center"/>
    </xf>
    <xf borderId="3" fillId="0" fontId="6" numFmtId="0" xfId="0" applyBorder="1" applyFont="1"/>
    <xf borderId="12" fillId="3" fontId="2" numFmtId="166" xfId="0" applyAlignment="1" applyBorder="1" applyFont="1" applyNumberFormat="1">
      <alignment horizontal="right" vertical="center"/>
    </xf>
    <xf borderId="12" fillId="0" fontId="2" numFmtId="166" xfId="0" applyAlignment="1" applyBorder="1" applyFont="1" applyNumberFormat="1">
      <alignment horizontal="right" vertical="center"/>
    </xf>
    <xf borderId="13" fillId="0" fontId="2" numFmtId="166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vertical="center"/>
    </xf>
    <xf borderId="1" fillId="2" fontId="6" numFmtId="0" xfId="0" applyBorder="1" applyFont="1"/>
    <xf borderId="1" fillId="11" fontId="2" numFmtId="166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166" xfId="0" applyAlignment="1" applyFont="1" applyNumberFormat="1">
      <alignment horizontal="right" vertical="center"/>
    </xf>
    <xf borderId="14" fillId="0" fontId="6" numFmtId="0" xfId="0" applyBorder="1" applyFont="1"/>
    <xf borderId="15" fillId="0" fontId="2" numFmtId="166" xfId="0" applyAlignment="1" applyBorder="1" applyFont="1" applyNumberFormat="1">
      <alignment horizontal="right" vertical="center"/>
    </xf>
    <xf borderId="16" fillId="0" fontId="2" numFmtId="166" xfId="0" applyAlignment="1" applyBorder="1" applyFont="1" applyNumberFormat="1">
      <alignment horizontal="right" vertical="center"/>
    </xf>
    <xf borderId="2" fillId="0" fontId="2" numFmtId="166" xfId="0" applyAlignment="1" applyBorder="1" applyFont="1" applyNumberFormat="1">
      <alignment horizontal="right" vertical="center"/>
    </xf>
    <xf borderId="1" fillId="0" fontId="2" numFmtId="166" xfId="0" applyAlignment="1" applyBorder="1" applyFont="1" applyNumberFormat="1">
      <alignment horizontal="right" vertical="center"/>
    </xf>
    <xf borderId="3" fillId="10" fontId="6" numFmtId="0" xfId="0" applyAlignment="1" applyBorder="1" applyFont="1">
      <alignment horizontal="center"/>
    </xf>
    <xf borderId="1" fillId="10" fontId="6" numFmtId="0" xfId="0" applyBorder="1" applyFont="1"/>
    <xf borderId="1" fillId="4" fontId="2" numFmtId="166" xfId="0" applyAlignment="1" applyBorder="1" applyFont="1" applyNumberFormat="1">
      <alignment vertical="center"/>
    </xf>
    <xf borderId="17" fillId="0" fontId="2" numFmtId="166" xfId="0" applyAlignment="1" applyBorder="1" applyFont="1" applyNumberFormat="1">
      <alignment horizontal="right" vertical="center"/>
    </xf>
    <xf borderId="1" fillId="4" fontId="6" numFmtId="0" xfId="0" applyBorder="1" applyFont="1"/>
    <xf borderId="11" fillId="0" fontId="2" numFmtId="166" xfId="0" applyAlignment="1" applyBorder="1" applyFont="1" applyNumberFormat="1">
      <alignment horizontal="right" vertical="center"/>
    </xf>
    <xf borderId="10" fillId="0" fontId="2" numFmtId="166" xfId="0" applyAlignment="1" applyBorder="1" applyFont="1" applyNumberFormat="1">
      <alignment horizontal="right" vertical="center"/>
    </xf>
    <xf borderId="5" fillId="0" fontId="2" numFmtId="166" xfId="0" applyAlignment="1" applyBorder="1" applyFont="1" applyNumberFormat="1">
      <alignment horizontal="right" vertical="center"/>
    </xf>
    <xf borderId="12" fillId="19" fontId="2" numFmtId="166" xfId="0" applyAlignment="1" applyBorder="1" applyFill="1" applyFont="1" applyNumberFormat="1">
      <alignment horizontal="right" vertical="center"/>
    </xf>
    <xf borderId="1" fillId="4" fontId="2" numFmtId="166" xfId="0" applyAlignment="1" applyBorder="1" applyFont="1" applyNumberFormat="1">
      <alignment horizontal="right" vertical="center"/>
    </xf>
    <xf borderId="18" fillId="0" fontId="2" numFmtId="166" xfId="0" applyAlignment="1" applyBorder="1" applyFont="1" applyNumberFormat="1">
      <alignment horizontal="right" vertical="center"/>
    </xf>
    <xf borderId="19" fillId="0" fontId="2" numFmtId="166" xfId="0" applyAlignment="1" applyBorder="1" applyFont="1" applyNumberFormat="1">
      <alignment horizontal="right" vertical="center"/>
    </xf>
    <xf borderId="3" fillId="0" fontId="2" numFmtId="166" xfId="0" applyAlignment="1" applyBorder="1" applyFont="1" applyNumberFormat="1">
      <alignment horizontal="right" vertical="center"/>
    </xf>
    <xf borderId="3" fillId="2" fontId="18" numFmtId="0" xfId="0" applyAlignment="1" applyBorder="1" applyFont="1">
      <alignment horizontal="center"/>
    </xf>
    <xf borderId="1" fillId="2" fontId="18" numFmtId="0" xfId="0" applyAlignment="1" applyBorder="1" applyFont="1">
      <alignment horizontal="center" vertical="center"/>
    </xf>
    <xf borderId="12" fillId="0" fontId="6" numFmtId="166" xfId="0" applyBorder="1" applyFont="1" applyNumberFormat="1"/>
    <xf borderId="3" fillId="0" fontId="31" numFmtId="0" xfId="0" applyBorder="1" applyFont="1"/>
    <xf borderId="12" fillId="0" fontId="31" numFmtId="166" xfId="0" applyBorder="1" applyFont="1" applyNumberFormat="1"/>
    <xf borderId="20" fillId="20" fontId="2" numFmtId="0" xfId="0" applyAlignment="1" applyBorder="1" applyFill="1" applyFont="1">
      <alignment vertical="center"/>
    </xf>
    <xf borderId="12" fillId="20" fontId="6" numFmtId="166" xfId="0" applyBorder="1" applyFont="1" applyNumberFormat="1"/>
    <xf borderId="0" fillId="0" fontId="6" numFmtId="0" xfId="0" applyAlignment="1" applyFont="1">
      <alignment horizontal="center"/>
    </xf>
    <xf borderId="19" fillId="0" fontId="2" numFmtId="0" xfId="0" applyAlignment="1" applyBorder="1" applyFont="1">
      <alignment vertical="center"/>
    </xf>
    <xf borderId="21" fillId="0" fontId="6" numFmtId="0" xfId="0" applyAlignment="1" applyBorder="1" applyFont="1">
      <alignment horizontal="center"/>
    </xf>
    <xf borderId="21" fillId="0" fontId="7" numFmtId="0" xfId="0" applyBorder="1" applyFont="1"/>
    <xf borderId="1" fillId="0" fontId="3" numFmtId="15" xfId="0" applyAlignment="1" applyBorder="1" applyFont="1" applyNumberFormat="1">
      <alignment horizontal="center" vertical="center"/>
    </xf>
    <xf borderId="5" fillId="0" fontId="3" numFmtId="15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right" vertical="center"/>
    </xf>
    <xf borderId="17" fillId="0" fontId="2" numFmtId="165" xfId="0" applyAlignment="1" applyBorder="1" applyFont="1" applyNumberFormat="1">
      <alignment horizontal="right" vertical="center"/>
    </xf>
    <xf borderId="12" fillId="0" fontId="31" numFmtId="168" xfId="0" applyBorder="1" applyFont="1" applyNumberFormat="1"/>
    <xf borderId="3" fillId="0" fontId="2" numFmtId="0" xfId="0" applyAlignment="1" applyBorder="1" applyFont="1">
      <alignment vertical="center"/>
    </xf>
    <xf borderId="22" fillId="0" fontId="6" numFmtId="168" xfId="0" applyBorder="1" applyFont="1" applyNumberFormat="1"/>
    <xf borderId="23" fillId="0" fontId="6" numFmtId="168" xfId="0" applyBorder="1" applyFont="1" applyNumberFormat="1"/>
    <xf borderId="3" fillId="15" fontId="18" numFmtId="0" xfId="0" applyAlignment="1" applyBorder="1" applyFont="1">
      <alignment horizontal="center"/>
    </xf>
    <xf borderId="3" fillId="10" fontId="18" numFmtId="0" xfId="0" applyAlignment="1" applyBorder="1" applyFont="1">
      <alignment horizontal="center"/>
    </xf>
    <xf borderId="1" fillId="21" fontId="21" numFmtId="0" xfId="0" applyBorder="1" applyFill="1" applyFont="1"/>
    <xf borderId="1" fillId="22" fontId="21" numFmtId="0" xfId="0" applyBorder="1" applyFill="1" applyFont="1"/>
    <xf borderId="1" fillId="7" fontId="21" numFmtId="0" xfId="0" applyBorder="1" applyFont="1"/>
    <xf borderId="1" fillId="15" fontId="2" numFmtId="0" xfId="0" applyBorder="1" applyFont="1"/>
    <xf borderId="1" fillId="15" fontId="6" numFmtId="0" xfId="0" applyBorder="1" applyFont="1"/>
    <xf borderId="1" fillId="23" fontId="2" numFmtId="0" xfId="0" applyBorder="1" applyFill="1" applyFont="1"/>
    <xf borderId="1" fillId="21" fontId="28" numFmtId="0" xfId="0" applyBorder="1" applyFont="1"/>
    <xf borderId="1" fillId="22" fontId="26" numFmtId="166" xfId="0" applyAlignment="1" applyBorder="1" applyFont="1" applyNumberFormat="1">
      <alignment vertical="center"/>
    </xf>
    <xf borderId="1" fillId="7" fontId="26" numFmtId="166" xfId="0" applyAlignment="1" applyBorder="1" applyFont="1" applyNumberFormat="1">
      <alignment vertical="center"/>
    </xf>
    <xf borderId="1" fillId="15" fontId="2" numFmtId="166" xfId="0" applyAlignment="1" applyBorder="1" applyFont="1" applyNumberFormat="1">
      <alignment vertical="center"/>
    </xf>
    <xf borderId="1" fillId="23" fontId="2" numFmtId="166" xfId="0" applyAlignment="1" applyBorder="1" applyFont="1" applyNumberFormat="1">
      <alignment vertical="center"/>
    </xf>
    <xf borderId="1" fillId="7" fontId="28" numFmtId="0" xfId="0" applyBorder="1" applyFont="1"/>
    <xf borderId="1" fillId="23" fontId="6" numFmtId="0" xfId="0" applyBorder="1" applyFont="1"/>
    <xf borderId="1" fillId="7" fontId="26" numFmtId="0" xfId="0" applyAlignment="1" applyBorder="1" applyFont="1">
      <alignment vertical="center"/>
    </xf>
    <xf borderId="1" fillId="22" fontId="28" numFmtId="0" xfId="0" applyBorder="1" applyFont="1"/>
    <xf borderId="1" fillId="23" fontId="2" numFmtId="0" xfId="0" applyAlignment="1" applyBorder="1" applyFont="1">
      <alignment vertical="center"/>
    </xf>
    <xf borderId="3" fillId="24" fontId="18" numFmtId="0" xfId="0" applyAlignment="1" applyBorder="1" applyFill="1" applyFont="1">
      <alignment horizontal="center" vertical="center"/>
    </xf>
    <xf borderId="3" fillId="11" fontId="18" numFmtId="0" xfId="0" applyAlignment="1" applyBorder="1" applyFont="1">
      <alignment horizontal="center" vertical="center"/>
    </xf>
    <xf borderId="18" fillId="11" fontId="28" numFmtId="0" xfId="0" applyAlignment="1" applyBorder="1" applyFont="1">
      <alignment horizontal="center" shrinkToFit="0" vertical="center" wrapText="1"/>
    </xf>
    <xf borderId="24" fillId="0" fontId="7" numFmtId="0" xfId="0" applyBorder="1" applyFont="1"/>
    <xf borderId="25" fillId="0" fontId="7" numFmtId="0" xfId="0" applyBorder="1" applyFont="1"/>
    <xf borderId="1" fillId="24" fontId="6" numFmtId="0" xfId="0" applyAlignment="1" applyBorder="1" applyFont="1">
      <alignment horizontal="center"/>
    </xf>
    <xf borderId="1" fillId="24" fontId="2" numFmtId="166" xfId="0" applyAlignment="1" applyBorder="1" applyFont="1" applyNumberFormat="1">
      <alignment vertical="center"/>
    </xf>
    <xf borderId="1" fillId="11" fontId="6" numFmtId="0" xfId="0" applyAlignment="1" applyBorder="1" applyFont="1">
      <alignment horizontal="center"/>
    </xf>
    <xf borderId="26" fillId="0" fontId="7" numFmtId="0" xfId="0" applyBorder="1" applyFont="1"/>
    <xf borderId="16" fillId="0" fontId="7" numFmtId="0" xfId="0" applyBorder="1" applyFont="1"/>
    <xf borderId="19" fillId="0" fontId="7" numFmtId="0" xfId="0" applyBorder="1" applyFont="1"/>
    <xf borderId="17" fillId="0" fontId="7" numFmtId="0" xfId="0" applyBorder="1" applyFont="1"/>
    <xf borderId="27" fillId="25" fontId="32" numFmtId="0" xfId="0" applyAlignment="1" applyBorder="1" applyFill="1" applyFont="1">
      <alignment horizontal="left" shrinkToFit="0" vertical="center" wrapText="1"/>
    </xf>
    <xf borderId="28" fillId="25" fontId="32" numFmtId="0" xfId="0" applyAlignment="1" applyBorder="1" applyFont="1">
      <alignment horizontal="left" shrinkToFit="0" vertical="center" wrapText="1"/>
    </xf>
    <xf borderId="4" fillId="0" fontId="2" numFmtId="166" xfId="0" applyAlignment="1" applyBorder="1" applyFont="1" applyNumberFormat="1">
      <alignment vertical="center"/>
    </xf>
    <xf borderId="27" fillId="26" fontId="32" numFmtId="0" xfId="0" applyAlignment="1" applyBorder="1" applyFill="1" applyFont="1">
      <alignment horizontal="left" shrinkToFit="0" vertical="center" wrapText="1"/>
    </xf>
    <xf borderId="28" fillId="26" fontId="32" numFmtId="0" xfId="0" applyAlignment="1" applyBorder="1" applyFont="1">
      <alignment horizontal="left" shrinkToFit="0" vertical="center" wrapText="1"/>
    </xf>
    <xf borderId="28" fillId="26" fontId="33" numFmtId="0" xfId="0" applyAlignment="1" applyBorder="1" applyFont="1">
      <alignment horizontal="left" shrinkToFit="0" vertical="center" wrapText="1"/>
    </xf>
    <xf borderId="27" fillId="27" fontId="32" numFmtId="0" xfId="0" applyAlignment="1" applyBorder="1" applyFill="1" applyFont="1">
      <alignment horizontal="left" shrinkToFit="0" vertical="center" wrapText="1"/>
    </xf>
    <xf borderId="28" fillId="27" fontId="32" numFmtId="0" xfId="0" applyAlignment="1" applyBorder="1" applyFont="1">
      <alignment horizontal="left" shrinkToFit="0" vertical="center" wrapText="1"/>
    </xf>
    <xf borderId="28" fillId="27" fontId="33" numFmtId="0" xfId="0" applyAlignment="1" applyBorder="1" applyFont="1">
      <alignment horizontal="left" shrinkToFit="0" vertical="center" wrapText="1"/>
    </xf>
    <xf borderId="1" fillId="24" fontId="6" numFmtId="0" xfId="0" applyBorder="1" applyFont="1"/>
    <xf borderId="1" fillId="17" fontId="21" numFmtId="0" xfId="0" applyBorder="1" applyFont="1"/>
    <xf borderId="3" fillId="17" fontId="21" numFmtId="0" xfId="0" applyAlignment="1" applyBorder="1" applyFont="1">
      <alignment horizontal="center"/>
    </xf>
    <xf borderId="3" fillId="22" fontId="21" numFmtId="0" xfId="0" applyAlignment="1" applyBorder="1" applyFont="1">
      <alignment horizontal="center"/>
    </xf>
    <xf borderId="3" fillId="8" fontId="21" numFmtId="0" xfId="0" applyAlignment="1" applyBorder="1" applyFont="1">
      <alignment horizontal="center"/>
    </xf>
    <xf borderId="1" fillId="11" fontId="2" numFmtId="0" xfId="0" applyAlignment="1" applyBorder="1" applyFont="1">
      <alignment vertical="center"/>
    </xf>
    <xf borderId="3" fillId="2" fontId="29" numFmtId="0" xfId="0" applyAlignment="1" applyBorder="1" applyFont="1">
      <alignment horizontal="center"/>
    </xf>
    <xf borderId="1" fillId="15" fontId="34" numFmtId="0" xfId="0" applyBorder="1" applyFont="1"/>
    <xf borderId="1" fillId="23" fontId="34" numFmtId="0" xfId="0" applyBorder="1" applyFont="1"/>
    <xf borderId="1" fillId="15" fontId="35" numFmtId="0" xfId="0" applyBorder="1" applyFont="1"/>
    <xf borderId="13" fillId="8" fontId="1" numFmtId="0" xfId="0" applyAlignment="1" applyBorder="1" applyFont="1">
      <alignment horizontal="center" vertical="center"/>
    </xf>
    <xf borderId="29" fillId="0" fontId="7" numFmtId="0" xfId="0" applyBorder="1" applyFont="1"/>
    <xf borderId="15" fillId="0" fontId="7" numFmtId="0" xfId="0" applyBorder="1" applyFont="1"/>
    <xf borderId="30" fillId="17" fontId="14" numFmtId="0" xfId="0" applyAlignment="1" applyBorder="1" applyFont="1">
      <alignment horizontal="center" shrinkToFit="0" vertical="center" wrapText="1"/>
    </xf>
    <xf borderId="31" fillId="17" fontId="14" numFmtId="0" xfId="0" applyAlignment="1" applyBorder="1" applyFont="1">
      <alignment horizontal="center" shrinkToFit="0" vertical="center" wrapText="1"/>
    </xf>
    <xf borderId="32" fillId="17" fontId="14" numFmtId="0" xfId="0" applyAlignment="1" applyBorder="1" applyFont="1">
      <alignment horizontal="center" shrinkToFit="0" vertical="center" wrapText="1"/>
    </xf>
    <xf borderId="33" fillId="10" fontId="14" numFmtId="0" xfId="0" applyAlignment="1" applyBorder="1" applyFont="1">
      <alignment horizontal="center" vertical="center"/>
    </xf>
    <xf borderId="34" fillId="10" fontId="14" numFmtId="0" xfId="0" applyAlignment="1" applyBorder="1" applyFont="1">
      <alignment horizontal="center" vertical="center"/>
    </xf>
    <xf borderId="35" fillId="10" fontId="6" numFmtId="0" xfId="0" applyBorder="1" applyFont="1"/>
    <xf borderId="35" fillId="10" fontId="6" numFmtId="0" xfId="0" applyAlignment="1" applyBorder="1" applyFont="1">
      <alignment horizontal="center"/>
    </xf>
    <xf borderId="36" fillId="10" fontId="6" numFmtId="0" xfId="0" applyAlignment="1" applyBorder="1" applyFont="1">
      <alignment horizontal="center"/>
    </xf>
    <xf borderId="37" fillId="0" fontId="7" numFmtId="0" xfId="0" applyBorder="1" applyFont="1"/>
    <xf borderId="38" fillId="0" fontId="7" numFmtId="0" xfId="0" applyBorder="1" applyFont="1"/>
    <xf borderId="39" fillId="10" fontId="6" numFmtId="0" xfId="0" applyBorder="1" applyFont="1"/>
    <xf borderId="39" fillId="10" fontId="6" numFmtId="0" xfId="0" applyAlignment="1" applyBorder="1" applyFont="1">
      <alignment horizontal="center"/>
    </xf>
    <xf borderId="40" fillId="10" fontId="6" numFmtId="0" xfId="0" applyAlignment="1" applyBorder="1" applyFont="1">
      <alignment horizontal="center"/>
    </xf>
    <xf borderId="30" fillId="7" fontId="14" numFmtId="0" xfId="0" applyAlignment="1" applyBorder="1" applyFont="1">
      <alignment horizontal="center" vertical="center"/>
    </xf>
    <xf borderId="31" fillId="7" fontId="14" numFmtId="0" xfId="0" applyAlignment="1" applyBorder="1" applyFont="1">
      <alignment horizontal="center" vertical="center"/>
    </xf>
    <xf borderId="31" fillId="7" fontId="6" numFmtId="0" xfId="0" applyAlignment="1" applyBorder="1" applyFont="1">
      <alignment vertical="center"/>
    </xf>
    <xf borderId="31" fillId="7" fontId="6" numFmtId="0" xfId="0" applyAlignment="1" applyBorder="1" applyFont="1">
      <alignment horizontal="center" vertical="center"/>
    </xf>
    <xf borderId="31" fillId="7" fontId="6" numFmtId="0" xfId="0" applyAlignment="1" applyBorder="1" applyFont="1">
      <alignment horizontal="center"/>
    </xf>
    <xf borderId="32" fillId="7" fontId="6" numFmtId="0" xfId="0" applyAlignment="1" applyBorder="1" applyFont="1">
      <alignment horizontal="center"/>
    </xf>
    <xf borderId="33" fillId="24" fontId="14" numFmtId="0" xfId="0" applyAlignment="1" applyBorder="1" applyFont="1">
      <alignment horizontal="center" vertical="center"/>
    </xf>
    <xf borderId="34" fillId="24" fontId="14" numFmtId="0" xfId="0" applyAlignment="1" applyBorder="1" applyFont="1">
      <alignment horizontal="center" vertical="center"/>
    </xf>
    <xf borderId="35" fillId="24" fontId="6" numFmtId="0" xfId="0" applyAlignment="1" applyBorder="1" applyFont="1">
      <alignment vertical="center"/>
    </xf>
    <xf borderId="35" fillId="24" fontId="6" numFmtId="0" xfId="0" applyAlignment="1" applyBorder="1" applyFont="1">
      <alignment horizontal="center" vertical="center"/>
    </xf>
    <xf borderId="35" fillId="24" fontId="6" numFmtId="0" xfId="0" applyAlignment="1" applyBorder="1" applyFont="1">
      <alignment horizontal="center"/>
    </xf>
    <xf borderId="36" fillId="24" fontId="6" numFmtId="0" xfId="0" applyAlignment="1" applyBorder="1" applyFont="1">
      <alignment horizontal="center"/>
    </xf>
    <xf borderId="41" fillId="0" fontId="7" numFmtId="0" xfId="0" applyBorder="1" applyFont="1"/>
    <xf borderId="2" fillId="0" fontId="7" numFmtId="0" xfId="0" applyBorder="1" applyFont="1"/>
    <xf borderId="1" fillId="24" fontId="6" numFmtId="0" xfId="0" applyAlignment="1" applyBorder="1" applyFont="1">
      <alignment vertical="center"/>
    </xf>
    <xf borderId="1" fillId="24" fontId="6" numFmtId="0" xfId="0" applyAlignment="1" applyBorder="1" applyFont="1">
      <alignment horizontal="center" vertical="center"/>
    </xf>
    <xf borderId="42" fillId="24" fontId="6" numFmtId="0" xfId="0" applyAlignment="1" applyBorder="1" applyFont="1">
      <alignment horizontal="center"/>
    </xf>
    <xf borderId="39" fillId="24" fontId="6" numFmtId="0" xfId="0" applyAlignment="1" applyBorder="1" applyFont="1">
      <alignment vertical="center"/>
    </xf>
    <xf borderId="39" fillId="24" fontId="6" numFmtId="0" xfId="0" applyAlignment="1" applyBorder="1" applyFont="1">
      <alignment horizontal="center" vertical="center"/>
    </xf>
    <xf borderId="39" fillId="24" fontId="6" numFmtId="0" xfId="0" applyAlignment="1" applyBorder="1" applyFont="1">
      <alignment horizontal="center"/>
    </xf>
    <xf borderId="40" fillId="24" fontId="6" numFmtId="0" xfId="0" applyAlignment="1" applyBorder="1" applyFont="1">
      <alignment horizontal="center"/>
    </xf>
    <xf borderId="43" fillId="11" fontId="14" numFmtId="0" xfId="0" applyAlignment="1" applyBorder="1" applyFont="1">
      <alignment horizontal="center" vertical="center"/>
    </xf>
    <xf borderId="44" fillId="11" fontId="14" numFmtId="0" xfId="0" applyAlignment="1" applyBorder="1" applyFont="1">
      <alignment horizontal="center" vertical="center"/>
    </xf>
    <xf borderId="44" fillId="11" fontId="6" numFmtId="0" xfId="0" applyAlignment="1" applyBorder="1" applyFont="1">
      <alignment vertical="center"/>
    </xf>
    <xf borderId="44" fillId="11" fontId="6" numFmtId="0" xfId="0" applyAlignment="1" applyBorder="1" applyFont="1">
      <alignment horizontal="center" vertical="center"/>
    </xf>
    <xf borderId="44" fillId="11" fontId="6" numFmtId="0" xfId="0" applyAlignment="1" applyBorder="1" applyFont="1">
      <alignment horizontal="center"/>
    </xf>
    <xf borderId="45" fillId="11" fontId="6" numFmtId="0" xfId="0" applyAlignment="1" applyBorder="1" applyFont="1">
      <alignment horizontal="center"/>
    </xf>
    <xf borderId="33" fillId="16" fontId="14" numFmtId="0" xfId="0" applyAlignment="1" applyBorder="1" applyFont="1">
      <alignment horizontal="center" vertical="center"/>
    </xf>
    <xf borderId="46" fillId="16" fontId="14" numFmtId="0" xfId="0" applyAlignment="1" applyBorder="1" applyFont="1">
      <alignment horizontal="center" vertical="center"/>
    </xf>
    <xf borderId="35" fillId="16" fontId="6" numFmtId="0" xfId="0" applyAlignment="1" applyBorder="1" applyFont="1">
      <alignment vertical="center"/>
    </xf>
    <xf borderId="35" fillId="16" fontId="6" numFmtId="0" xfId="0" applyAlignment="1" applyBorder="1" applyFont="1">
      <alignment horizontal="center" vertical="center"/>
    </xf>
    <xf borderId="35" fillId="16" fontId="6" numFmtId="0" xfId="0" applyAlignment="1" applyBorder="1" applyFont="1">
      <alignment horizontal="center"/>
    </xf>
    <xf borderId="36" fillId="16" fontId="6" numFmtId="0" xfId="0" applyAlignment="1" applyBorder="1" applyFont="1">
      <alignment horizontal="center"/>
    </xf>
    <xf borderId="47" fillId="0" fontId="7" numFmtId="0" xfId="0" applyBorder="1" applyFont="1"/>
    <xf borderId="1" fillId="16" fontId="6" numFmtId="0" xfId="0" applyAlignment="1" applyBorder="1" applyFont="1">
      <alignment vertical="center"/>
    </xf>
    <xf borderId="1" fillId="16" fontId="6" numFmtId="0" xfId="0" applyAlignment="1" applyBorder="1" applyFont="1">
      <alignment horizontal="center" vertical="center"/>
    </xf>
    <xf borderId="1" fillId="16" fontId="6" numFmtId="0" xfId="0" applyAlignment="1" applyBorder="1" applyFont="1">
      <alignment horizontal="center"/>
    </xf>
    <xf borderId="42" fillId="16" fontId="6" numFmtId="0" xfId="0" applyAlignment="1" applyBorder="1" applyFont="1">
      <alignment horizontal="center"/>
    </xf>
    <xf borderId="1" fillId="16" fontId="6" numFmtId="0" xfId="0" applyBorder="1" applyFont="1"/>
    <xf borderId="48" fillId="0" fontId="7" numFmtId="0" xfId="0" applyBorder="1" applyFont="1"/>
    <xf borderId="39" fillId="16" fontId="6" numFmtId="0" xfId="0" applyBorder="1" applyFont="1"/>
    <xf borderId="39" fillId="16" fontId="6" numFmtId="0" xfId="0" applyAlignment="1" applyBorder="1" applyFont="1">
      <alignment horizontal="center"/>
    </xf>
    <xf borderId="40" fillId="16" fontId="6" numFmtId="0" xfId="0" applyAlignment="1" applyBorder="1" applyFont="1">
      <alignment horizontal="center"/>
    </xf>
    <xf borderId="49" fillId="10" fontId="14" numFmtId="0" xfId="0" applyAlignment="1" applyBorder="1" applyFont="1">
      <alignment horizontal="center" vertical="center"/>
    </xf>
    <xf borderId="50" fillId="10" fontId="14" numFmtId="0" xfId="0" applyAlignment="1" applyBorder="1" applyFont="1">
      <alignment horizontal="center" vertical="center"/>
    </xf>
    <xf borderId="51" fillId="10" fontId="6" numFmtId="0" xfId="0" applyAlignment="1" applyBorder="1" applyFont="1">
      <alignment vertical="center"/>
    </xf>
    <xf borderId="9" fillId="10" fontId="6" numFmtId="0" xfId="0" applyAlignment="1" applyBorder="1" applyFont="1">
      <alignment horizontal="center" vertical="center"/>
    </xf>
    <xf borderId="9" fillId="10" fontId="6" numFmtId="0" xfId="0" applyAlignment="1" applyBorder="1" applyFont="1">
      <alignment horizontal="center"/>
    </xf>
    <xf borderId="52" fillId="10" fontId="6" numFmtId="0" xfId="0" applyAlignment="1" applyBorder="1" applyFont="1">
      <alignment horizontal="center"/>
    </xf>
    <xf borderId="53" fillId="10" fontId="6" numFmtId="0" xfId="0" applyAlignment="1" applyBorder="1" applyFont="1">
      <alignment vertical="center"/>
    </xf>
    <xf borderId="39" fillId="10" fontId="6" numFmtId="0" xfId="0" applyAlignment="1" applyBorder="1" applyFont="1">
      <alignment horizontal="center" vertical="center"/>
    </xf>
    <xf borderId="33" fillId="7" fontId="14" numFmtId="0" xfId="0" applyAlignment="1" applyBorder="1" applyFont="1">
      <alignment horizontal="center" vertical="center"/>
    </xf>
    <xf borderId="54" fillId="7" fontId="14" numFmtId="0" xfId="0" applyAlignment="1" applyBorder="1" applyFont="1">
      <alignment horizontal="center" vertical="center"/>
    </xf>
    <xf borderId="9" fillId="7" fontId="6" numFmtId="0" xfId="0" applyAlignment="1" applyBorder="1" applyFont="1">
      <alignment vertical="center"/>
    </xf>
    <xf borderId="9" fillId="7" fontId="6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/>
    </xf>
    <xf borderId="52" fillId="7" fontId="6" numFmtId="0" xfId="0" applyAlignment="1" applyBorder="1" applyFont="1">
      <alignment horizontal="center"/>
    </xf>
    <xf borderId="1" fillId="7" fontId="6" numFmtId="0" xfId="0" applyAlignment="1" applyBorder="1" applyFont="1">
      <alignment vertical="center"/>
    </xf>
    <xf borderId="1" fillId="7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/>
    </xf>
    <xf borderId="42" fillId="7" fontId="6" numFmtId="0" xfId="0" applyAlignment="1" applyBorder="1" applyFont="1">
      <alignment horizontal="center"/>
    </xf>
    <xf borderId="55" fillId="0" fontId="7" numFmtId="0" xfId="0" applyBorder="1" applyFont="1"/>
    <xf borderId="7" fillId="7" fontId="6" numFmtId="0" xfId="0" applyAlignment="1" applyBorder="1" applyFont="1">
      <alignment vertical="center"/>
    </xf>
    <xf borderId="7" fillId="7" fontId="6" numFmtId="0" xfId="0" applyAlignment="1" applyBorder="1" applyFont="1">
      <alignment horizontal="center"/>
    </xf>
    <xf borderId="56" fillId="7" fontId="6" numFmtId="0" xfId="0" applyAlignment="1" applyBorder="1" applyFont="1">
      <alignment horizontal="center"/>
    </xf>
    <xf borderId="33" fillId="11" fontId="14" numFmtId="0" xfId="0" applyAlignment="1" applyBorder="1" applyFont="1">
      <alignment horizontal="center" vertical="center"/>
    </xf>
    <xf borderId="34" fillId="11" fontId="14" numFmtId="0" xfId="0" applyAlignment="1" applyBorder="1" applyFont="1">
      <alignment horizontal="center" vertical="center"/>
    </xf>
    <xf borderId="35" fillId="11" fontId="6" numFmtId="0" xfId="0" applyAlignment="1" applyBorder="1" applyFont="1">
      <alignment vertical="center"/>
    </xf>
    <xf borderId="35" fillId="11" fontId="6" numFmtId="0" xfId="0" applyAlignment="1" applyBorder="1" applyFont="1">
      <alignment horizontal="center" vertical="center"/>
    </xf>
    <xf borderId="35" fillId="11" fontId="6" numFmtId="0" xfId="0" applyAlignment="1" applyBorder="1" applyFont="1">
      <alignment horizontal="center"/>
    </xf>
    <xf borderId="36" fillId="11" fontId="6" numFmtId="0" xfId="0" applyAlignment="1" applyBorder="1" applyFont="1">
      <alignment horizontal="center"/>
    </xf>
    <xf borderId="39" fillId="11" fontId="6" numFmtId="0" xfId="0" applyBorder="1" applyFont="1"/>
    <xf borderId="39" fillId="11" fontId="6" numFmtId="0" xfId="0" applyAlignment="1" applyBorder="1" applyFont="1">
      <alignment horizontal="center"/>
    </xf>
    <xf borderId="40" fillId="11" fontId="6" numFmtId="0" xfId="0" applyAlignment="1" applyBorder="1" applyFont="1">
      <alignment horizontal="center"/>
    </xf>
    <xf borderId="34" fillId="16" fontId="14" numFmtId="0" xfId="0" applyAlignment="1" applyBorder="1" applyFont="1">
      <alignment horizontal="center" vertical="center"/>
    </xf>
    <xf borderId="57" fillId="10" fontId="14" numFmtId="0" xfId="0" applyAlignment="1" applyBorder="1" applyFont="1">
      <alignment horizontal="center" vertical="center"/>
    </xf>
    <xf borderId="6" fillId="10" fontId="14" numFmtId="0" xfId="0" applyAlignment="1" applyBorder="1" applyFont="1">
      <alignment horizontal="center" vertical="center"/>
    </xf>
    <xf borderId="6" fillId="10" fontId="6" numFmtId="0" xfId="0" applyAlignment="1" applyBorder="1" applyFont="1">
      <alignment vertical="center"/>
    </xf>
    <xf borderId="6" fillId="10" fontId="6" numFmtId="0" xfId="0" applyAlignment="1" applyBorder="1" applyFont="1">
      <alignment horizontal="center" vertical="center"/>
    </xf>
    <xf borderId="6" fillId="10" fontId="6" numFmtId="0" xfId="0" applyAlignment="1" applyBorder="1" applyFont="1">
      <alignment horizontal="center"/>
    </xf>
    <xf borderId="58" fillId="10" fontId="6" numFmtId="0" xfId="0" applyAlignment="1" applyBorder="1" applyFont="1">
      <alignment horizontal="center"/>
    </xf>
    <xf borderId="34" fillId="7" fontId="14" numFmtId="0" xfId="0" applyAlignment="1" applyBorder="1" applyFont="1">
      <alignment horizontal="center" vertical="center"/>
    </xf>
    <xf borderId="35" fillId="7" fontId="6" numFmtId="0" xfId="0" applyAlignment="1" applyBorder="1" applyFont="1">
      <alignment vertical="center"/>
    </xf>
    <xf borderId="35" fillId="7" fontId="6" numFmtId="0" xfId="0" applyAlignment="1" applyBorder="1" applyFont="1">
      <alignment horizontal="center" vertical="center"/>
    </xf>
    <xf borderId="35" fillId="7" fontId="6" numFmtId="0" xfId="0" applyAlignment="1" applyBorder="1" applyFont="1">
      <alignment horizontal="center"/>
    </xf>
    <xf borderId="36" fillId="7" fontId="6" numFmtId="0" xfId="0" applyAlignment="1" applyBorder="1" applyFont="1">
      <alignment horizontal="center"/>
    </xf>
    <xf borderId="39" fillId="7" fontId="6" numFmtId="0" xfId="0" applyAlignment="1" applyBorder="1" applyFont="1">
      <alignment vertical="center"/>
    </xf>
    <xf borderId="39" fillId="7" fontId="6" numFmtId="0" xfId="0" applyAlignment="1" applyBorder="1" applyFont="1">
      <alignment horizontal="center" vertical="center"/>
    </xf>
    <xf borderId="39" fillId="7" fontId="6" numFmtId="0" xfId="0" applyAlignment="1" applyBorder="1" applyFont="1">
      <alignment horizontal="center"/>
    </xf>
    <xf borderId="40" fillId="7" fontId="6" numFmtId="0" xfId="0" applyAlignment="1" applyBorder="1" applyFont="1">
      <alignment horizontal="center"/>
    </xf>
    <xf borderId="1" fillId="11" fontId="6" numFmtId="0" xfId="0" applyAlignment="1" applyBorder="1" applyFont="1">
      <alignment vertical="center"/>
    </xf>
    <xf borderId="42" fillId="11" fontId="6" numFmtId="0" xfId="0" applyAlignment="1" applyBorder="1" applyFont="1">
      <alignment horizontal="center"/>
    </xf>
    <xf borderId="39" fillId="11" fontId="6" numFmtId="0" xfId="0" applyAlignment="1" applyBorder="1" applyFont="1">
      <alignment vertical="center"/>
    </xf>
    <xf borderId="39" fillId="11" fontId="6" numFmtId="0" xfId="0" applyAlignment="1" applyBorder="1" applyFont="1">
      <alignment horizontal="center" vertical="center"/>
    </xf>
    <xf borderId="59" fillId="0" fontId="6" numFmtId="0" xfId="0" applyBorder="1" applyFont="1"/>
    <xf borderId="10" fillId="0" fontId="6" numFmtId="0" xfId="0" applyBorder="1" applyFont="1"/>
    <xf borderId="10" fillId="0" fontId="6" numFmtId="0" xfId="0" applyAlignment="1" applyBorder="1" applyFont="1">
      <alignment horizontal="center"/>
    </xf>
    <xf borderId="60" fillId="0" fontId="6" numFmtId="0" xfId="0" applyAlignment="1" applyBorder="1" applyFont="1">
      <alignment horizontal="center"/>
    </xf>
    <xf borderId="61" fillId="0" fontId="6" numFmtId="0" xfId="0" applyBorder="1" applyFont="1"/>
    <xf borderId="1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62" fillId="0" fontId="6" numFmtId="0" xfId="0" applyBorder="1" applyFont="1"/>
    <xf borderId="5" fillId="0" fontId="6" numFmtId="0" xfId="0" applyBorder="1" applyFont="1"/>
    <xf borderId="5" fillId="0" fontId="6" numFmtId="0" xfId="0" applyAlignment="1" applyBorder="1" applyFont="1">
      <alignment horizontal="center"/>
    </xf>
    <xf borderId="63" fillId="0" fontId="6" numFmtId="0" xfId="0" applyAlignment="1" applyBorder="1" applyFont="1">
      <alignment horizontal="center"/>
    </xf>
    <xf borderId="13" fillId="8" fontId="20" numFmtId="0" xfId="0" applyAlignment="1" applyBorder="1" applyFont="1">
      <alignment horizontal="center"/>
    </xf>
    <xf borderId="64" fillId="0" fontId="7" numFmtId="0" xfId="0" applyBorder="1" applyFont="1"/>
    <xf borderId="31" fillId="8" fontId="6" numFmtId="0" xfId="0" applyAlignment="1" applyBorder="1" applyFont="1">
      <alignment horizontal="center"/>
    </xf>
    <xf borderId="32" fillId="8" fontId="6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F28E85"/>
          <bgColor rgb="FFF28E85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>
        <color theme="1"/>
      </font>
      <fill>
        <patternFill patternType="solid">
          <fgColor rgb="FFFFA766"/>
          <bgColor rgb="FFFFA766"/>
        </patternFill>
      </fill>
      <border/>
    </dxf>
    <dxf>
      <font>
        <color theme="1"/>
      </font>
      <fill>
        <patternFill patternType="solid">
          <fgColor rgb="FF7AD592"/>
          <bgColor rgb="FF7AD5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13"/>
    <col customWidth="1" min="3" max="7" width="12.75"/>
    <col customWidth="1" min="8" max="8" width="9.25"/>
    <col customWidth="1" min="9" max="11" width="12.75"/>
    <col customWidth="1" min="12" max="12" width="16.88"/>
    <col customWidth="1" min="13" max="26" width="12.75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3" t="s">
        <v>1</v>
      </c>
      <c r="I2" s="3" t="s">
        <v>5</v>
      </c>
      <c r="J2" s="3" t="s">
        <v>6</v>
      </c>
      <c r="K2" s="3" t="s">
        <v>4</v>
      </c>
      <c r="L2" s="3" t="s">
        <v>7</v>
      </c>
      <c r="M2" s="2"/>
      <c r="N2" s="2"/>
      <c r="O2" s="2"/>
    </row>
    <row r="3" ht="15.75" customHeight="1">
      <c r="A3" s="3">
        <v>1.0</v>
      </c>
      <c r="B3" s="4" t="s">
        <v>8</v>
      </c>
      <c r="C3" s="5">
        <v>45618.0</v>
      </c>
      <c r="D3" s="6">
        <v>2000.0</v>
      </c>
      <c r="E3" s="2"/>
      <c r="F3" s="2"/>
      <c r="G3" s="2"/>
      <c r="H3" s="3">
        <v>1.0</v>
      </c>
      <c r="I3" s="5">
        <v>45611.0</v>
      </c>
      <c r="J3" s="4" t="s">
        <v>9</v>
      </c>
      <c r="K3" s="6">
        <v>200.0</v>
      </c>
      <c r="L3" s="4" t="s">
        <v>10</v>
      </c>
      <c r="M3" s="2"/>
      <c r="N3" s="2"/>
      <c r="O3" s="2"/>
    </row>
    <row r="4" ht="15.75" customHeight="1">
      <c r="A4" s="3">
        <v>2.0</v>
      </c>
      <c r="B4" s="4" t="s">
        <v>11</v>
      </c>
      <c r="C4" s="5">
        <v>45619.0</v>
      </c>
      <c r="D4" s="6">
        <v>2000.0</v>
      </c>
      <c r="E4" s="2"/>
      <c r="F4" s="2"/>
      <c r="G4" s="2"/>
      <c r="H4" s="3">
        <v>2.0</v>
      </c>
      <c r="I4" s="5">
        <v>45617.0</v>
      </c>
      <c r="J4" s="4" t="s">
        <v>12</v>
      </c>
      <c r="K4" s="6">
        <v>19700.0</v>
      </c>
      <c r="L4" s="4" t="s">
        <v>13</v>
      </c>
      <c r="M4" s="2"/>
      <c r="N4" s="2"/>
      <c r="O4" s="2"/>
    </row>
    <row r="5" ht="15.75" customHeight="1">
      <c r="A5" s="3">
        <v>3.0</v>
      </c>
      <c r="B5" s="4" t="s">
        <v>14</v>
      </c>
      <c r="C5" s="5">
        <v>45617.0</v>
      </c>
      <c r="D5" s="6">
        <v>2000.0</v>
      </c>
      <c r="E5" s="2"/>
      <c r="F5" s="2"/>
      <c r="G5" s="2"/>
      <c r="H5" s="3">
        <v>3.0</v>
      </c>
      <c r="I5" s="5">
        <v>45618.0</v>
      </c>
      <c r="J5" s="4" t="s">
        <v>15</v>
      </c>
      <c r="K5" s="6">
        <v>1700.0</v>
      </c>
      <c r="L5" s="4" t="s">
        <v>16</v>
      </c>
      <c r="M5" s="2"/>
      <c r="N5" s="2"/>
      <c r="O5" s="2"/>
    </row>
    <row r="6" ht="15.75" customHeight="1">
      <c r="A6" s="3">
        <v>4.0</v>
      </c>
      <c r="B6" s="7" t="s">
        <v>17</v>
      </c>
      <c r="C6" s="5"/>
      <c r="D6" s="6"/>
      <c r="E6" s="2"/>
      <c r="F6" s="2"/>
      <c r="G6" s="2"/>
      <c r="H6" s="3">
        <v>4.0</v>
      </c>
      <c r="I6" s="5">
        <v>45618.0</v>
      </c>
      <c r="J6" s="4" t="s">
        <v>18</v>
      </c>
      <c r="K6" s="6">
        <v>2200.0</v>
      </c>
      <c r="L6" s="4" t="s">
        <v>11</v>
      </c>
      <c r="M6" s="2"/>
      <c r="N6" s="2"/>
      <c r="O6" s="2"/>
    </row>
    <row r="7" ht="15.75" customHeight="1">
      <c r="A7" s="3">
        <v>5.0</v>
      </c>
      <c r="B7" s="4" t="s">
        <v>10</v>
      </c>
      <c r="C7" s="5">
        <v>45617.0</v>
      </c>
      <c r="D7" s="6">
        <v>2000.0</v>
      </c>
      <c r="E7" s="2"/>
      <c r="F7" s="2"/>
      <c r="G7" s="2"/>
      <c r="H7" s="3">
        <v>5.0</v>
      </c>
      <c r="I7" s="5">
        <v>45619.0</v>
      </c>
      <c r="J7" s="4" t="s">
        <v>9</v>
      </c>
      <c r="K7" s="6">
        <v>150.0</v>
      </c>
      <c r="L7" s="4" t="s">
        <v>10</v>
      </c>
      <c r="M7" s="2"/>
      <c r="N7" s="2"/>
      <c r="O7" s="2"/>
    </row>
    <row r="8" ht="15.75" customHeight="1">
      <c r="A8" s="3">
        <v>6.0</v>
      </c>
      <c r="B8" s="4" t="s">
        <v>19</v>
      </c>
      <c r="C8" s="5">
        <v>45618.0</v>
      </c>
      <c r="D8" s="6">
        <v>2000.0</v>
      </c>
      <c r="E8" s="2"/>
      <c r="F8" s="2"/>
      <c r="G8" s="2"/>
      <c r="H8" s="3">
        <v>6.0</v>
      </c>
      <c r="I8" s="5">
        <v>45620.0</v>
      </c>
      <c r="J8" s="4" t="s">
        <v>9</v>
      </c>
      <c r="K8" s="6">
        <v>70.0</v>
      </c>
      <c r="L8" s="4" t="s">
        <v>20</v>
      </c>
      <c r="M8" s="2"/>
      <c r="N8" s="2"/>
      <c r="O8" s="2"/>
    </row>
    <row r="9" ht="15.75" customHeight="1">
      <c r="A9" s="3">
        <v>7.0</v>
      </c>
      <c r="B9" s="4" t="s">
        <v>21</v>
      </c>
      <c r="C9" s="5">
        <v>45617.0</v>
      </c>
      <c r="D9" s="6">
        <v>2000.0</v>
      </c>
      <c r="E9" s="2"/>
      <c r="F9" s="2"/>
      <c r="G9" s="2"/>
      <c r="H9" s="3">
        <v>7.0</v>
      </c>
      <c r="I9" s="4"/>
      <c r="J9" s="4"/>
      <c r="K9" s="6"/>
      <c r="L9" s="4"/>
      <c r="M9" s="2"/>
      <c r="N9" s="2"/>
      <c r="O9" s="2"/>
    </row>
    <row r="10" ht="15.75" customHeight="1">
      <c r="A10" s="3">
        <v>8.0</v>
      </c>
      <c r="B10" s="4" t="s">
        <v>22</v>
      </c>
      <c r="C10" s="5">
        <v>45618.0</v>
      </c>
      <c r="D10" s="6">
        <v>2000.0</v>
      </c>
      <c r="E10" s="2"/>
      <c r="F10" s="2"/>
      <c r="G10" s="2"/>
      <c r="H10" s="4"/>
      <c r="I10" s="4"/>
      <c r="J10" s="4"/>
      <c r="K10" s="8">
        <f>SUM(K3:K9)</f>
        <v>24020</v>
      </c>
      <c r="L10" s="4"/>
      <c r="M10" s="2"/>
      <c r="N10" s="2"/>
      <c r="O10" s="2"/>
    </row>
    <row r="11" ht="15.75" customHeight="1">
      <c r="A11" s="3">
        <v>9.0</v>
      </c>
      <c r="B11" s="4" t="s">
        <v>23</v>
      </c>
      <c r="C11" s="5">
        <v>45618.0</v>
      </c>
      <c r="D11" s="6">
        <v>2000.0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75" customHeight="1">
      <c r="A12" s="3">
        <v>10.0</v>
      </c>
      <c r="B12" s="4" t="s">
        <v>16</v>
      </c>
      <c r="C12" s="5">
        <v>45617.0</v>
      </c>
      <c r="D12" s="6">
        <v>2000.0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75" customHeight="1">
      <c r="A13" s="3">
        <v>11.0</v>
      </c>
      <c r="B13" s="4" t="s">
        <v>24</v>
      </c>
      <c r="C13" s="5">
        <v>45618.0</v>
      </c>
      <c r="D13" s="6">
        <v>2000.0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5.75" customHeight="1">
      <c r="A14" s="3">
        <v>12.0</v>
      </c>
      <c r="B14" s="4" t="s">
        <v>25</v>
      </c>
      <c r="C14" s="5">
        <v>45617.0</v>
      </c>
      <c r="D14" s="6">
        <v>2000.0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.75" customHeight="1">
      <c r="A15" s="4"/>
      <c r="B15" s="4"/>
      <c r="C15" s="5"/>
      <c r="D15" s="9">
        <f>SUM(D3:D14)</f>
        <v>22000</v>
      </c>
      <c r="E15" s="2"/>
      <c r="F15" s="2"/>
      <c r="G15" s="2"/>
      <c r="H15" s="2"/>
      <c r="I15" s="2"/>
      <c r="J15" s="2"/>
      <c r="L15" s="2"/>
      <c r="M15" s="2"/>
      <c r="N15" s="2"/>
      <c r="O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5.75" customHeight="1">
      <c r="A18" s="2"/>
      <c r="B18" s="4" t="s">
        <v>26</v>
      </c>
      <c r="C18" s="6">
        <f>D15</f>
        <v>22000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5.75" customHeight="1">
      <c r="A19" s="2"/>
      <c r="B19" s="4" t="s">
        <v>27</v>
      </c>
      <c r="C19" s="6">
        <v>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75" customHeight="1">
      <c r="A20" s="2"/>
      <c r="B20" s="4" t="s">
        <v>28</v>
      </c>
      <c r="C20" s="6">
        <f>D15</f>
        <v>22000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4" t="s">
        <v>29</v>
      </c>
      <c r="C21" s="6">
        <f>K10</f>
        <v>24020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/>
      <c r="B22" s="4" t="s">
        <v>30</v>
      </c>
      <c r="C22" s="8">
        <f>SUM(C19+C20-C21)</f>
        <v>-2020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custom" allowBlank="1" showDropDown="1" sqref="C3:C15 I3:I15">
      <formula1>OR(NOT(ISERROR(DATEVALUE(C3))), AND(ISNUMBER(C3), LEFT(CELL("format", C3))="D"))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38"/>
    <col customWidth="1" min="3" max="3" width="8.63"/>
    <col customWidth="1" min="4" max="4" width="11.75"/>
    <col customWidth="1" min="5" max="26" width="8.63"/>
  </cols>
  <sheetData>
    <row r="1" ht="12.75" customHeight="1">
      <c r="A1" s="10" t="s">
        <v>31</v>
      </c>
      <c r="B1" s="10" t="s">
        <v>32</v>
      </c>
      <c r="C1" s="10" t="s">
        <v>4</v>
      </c>
      <c r="D1" s="11" t="s">
        <v>5</v>
      </c>
    </row>
    <row r="2" ht="12.75" customHeight="1">
      <c r="A2" s="10">
        <v>1.0</v>
      </c>
      <c r="B2" s="4" t="s">
        <v>14</v>
      </c>
      <c r="C2" s="10">
        <v>2000.0</v>
      </c>
      <c r="D2" s="5">
        <v>45617.0</v>
      </c>
    </row>
    <row r="3" ht="12.75" customHeight="1">
      <c r="A3" s="10">
        <v>2.0</v>
      </c>
      <c r="B3" s="4" t="s">
        <v>10</v>
      </c>
      <c r="C3" s="10">
        <v>2000.0</v>
      </c>
      <c r="D3" s="5">
        <v>45617.0</v>
      </c>
    </row>
    <row r="4" ht="12.75" customHeight="1">
      <c r="A4" s="10">
        <v>3.0</v>
      </c>
      <c r="B4" s="4" t="s">
        <v>21</v>
      </c>
      <c r="C4" s="10">
        <v>2000.0</v>
      </c>
      <c r="D4" s="5">
        <v>45617.0</v>
      </c>
    </row>
    <row r="5" ht="12.75" customHeight="1">
      <c r="A5" s="10">
        <v>4.0</v>
      </c>
      <c r="B5" s="4" t="s">
        <v>16</v>
      </c>
      <c r="C5" s="10">
        <v>2000.0</v>
      </c>
      <c r="D5" s="5">
        <v>45617.0</v>
      </c>
    </row>
    <row r="6" ht="12.75" customHeight="1">
      <c r="A6" s="10">
        <v>5.0</v>
      </c>
      <c r="B6" s="4" t="s">
        <v>25</v>
      </c>
      <c r="C6" s="10">
        <v>2000.0</v>
      </c>
      <c r="D6" s="5">
        <v>45617.0</v>
      </c>
    </row>
    <row r="7" ht="12.75" customHeight="1">
      <c r="A7" s="10">
        <v>6.0</v>
      </c>
      <c r="B7" s="4" t="s">
        <v>8</v>
      </c>
      <c r="C7" s="10">
        <v>2000.0</v>
      </c>
      <c r="D7" s="5">
        <v>45618.0</v>
      </c>
    </row>
    <row r="8" ht="12.75" customHeight="1">
      <c r="A8" s="10">
        <v>7.0</v>
      </c>
      <c r="B8" s="4" t="s">
        <v>19</v>
      </c>
      <c r="C8" s="10">
        <v>2000.0</v>
      </c>
      <c r="D8" s="5">
        <v>45618.0</v>
      </c>
    </row>
    <row r="9" ht="12.75" customHeight="1">
      <c r="A9" s="10">
        <v>8.0</v>
      </c>
      <c r="B9" s="4" t="s">
        <v>22</v>
      </c>
      <c r="C9" s="10">
        <v>2000.0</v>
      </c>
      <c r="D9" s="5">
        <v>45618.0</v>
      </c>
    </row>
    <row r="10" ht="12.75" customHeight="1">
      <c r="A10" s="10">
        <v>9.0</v>
      </c>
      <c r="B10" s="4" t="s">
        <v>23</v>
      </c>
      <c r="C10" s="10">
        <v>2000.0</v>
      </c>
      <c r="D10" s="5">
        <v>45618.0</v>
      </c>
    </row>
    <row r="11" ht="12.75" customHeight="1">
      <c r="A11" s="10">
        <v>10.0</v>
      </c>
      <c r="B11" s="4" t="s">
        <v>24</v>
      </c>
      <c r="C11" s="10">
        <v>2000.0</v>
      </c>
      <c r="D11" s="5">
        <v>45618.0</v>
      </c>
    </row>
    <row r="12" ht="12.75" customHeight="1">
      <c r="A12" s="10">
        <v>11.0</v>
      </c>
      <c r="B12" s="4" t="s">
        <v>11</v>
      </c>
      <c r="C12" s="10">
        <v>2000.0</v>
      </c>
      <c r="D12" s="5">
        <v>45619.0</v>
      </c>
    </row>
    <row r="13" ht="12.75" customHeight="1">
      <c r="A13" s="10">
        <v>12.0</v>
      </c>
      <c r="B13" s="4" t="s">
        <v>33</v>
      </c>
      <c r="C13" s="10">
        <v>2000.0</v>
      </c>
      <c r="D13" s="5">
        <v>45629.0</v>
      </c>
    </row>
    <row r="14" ht="12.75" customHeight="1">
      <c r="A14" s="10">
        <v>13.0</v>
      </c>
      <c r="B14" s="4" t="s">
        <v>17</v>
      </c>
      <c r="C14" s="10">
        <v>2000.0</v>
      </c>
      <c r="D14" s="5">
        <v>45630.0</v>
      </c>
    </row>
    <row r="15" ht="12.75" customHeight="1">
      <c r="A15" s="10">
        <v>14.0</v>
      </c>
      <c r="B15" s="4" t="s">
        <v>34</v>
      </c>
      <c r="C15" s="10">
        <v>2000.0</v>
      </c>
      <c r="D15" s="5">
        <v>45637.0</v>
      </c>
    </row>
    <row r="16" ht="12.75" customHeight="1">
      <c r="A16" s="10">
        <v>15.0</v>
      </c>
      <c r="B16" s="4" t="s">
        <v>35</v>
      </c>
      <c r="C16" s="10">
        <v>2000.0</v>
      </c>
      <c r="D16" s="5">
        <v>45649.0</v>
      </c>
    </row>
    <row r="17" ht="12.75" customHeight="1">
      <c r="A17" s="10">
        <v>16.0</v>
      </c>
      <c r="B17" s="4" t="s">
        <v>36</v>
      </c>
      <c r="C17" s="10">
        <v>2000.0</v>
      </c>
      <c r="D17" s="5">
        <v>45649.0</v>
      </c>
    </row>
    <row r="18" ht="12.75" customHeight="1">
      <c r="A18" s="10">
        <v>17.0</v>
      </c>
      <c r="B18" s="4" t="s">
        <v>37</v>
      </c>
      <c r="C18" s="10">
        <v>2000.0</v>
      </c>
      <c r="D18" s="5">
        <v>45649.0</v>
      </c>
    </row>
    <row r="19" ht="12.75" customHeight="1">
      <c r="A19" s="10">
        <v>18.0</v>
      </c>
      <c r="B19" s="4" t="s">
        <v>38</v>
      </c>
      <c r="C19" s="10">
        <v>2000.0</v>
      </c>
      <c r="D19" s="5">
        <v>45649.0</v>
      </c>
    </row>
    <row r="20" ht="12.75" customHeight="1">
      <c r="A20" s="10">
        <v>19.0</v>
      </c>
      <c r="B20" s="4" t="s">
        <v>39</v>
      </c>
      <c r="C20" s="10">
        <v>2000.0</v>
      </c>
      <c r="D20" s="5">
        <v>45649.0</v>
      </c>
    </row>
    <row r="21" ht="12.75" customHeight="1">
      <c r="A21" s="10">
        <v>20.0</v>
      </c>
      <c r="B21" s="4" t="s">
        <v>40</v>
      </c>
      <c r="C21" s="10">
        <v>2000.0</v>
      </c>
      <c r="D21" s="5">
        <v>45649.0</v>
      </c>
    </row>
    <row r="22" ht="12.75" customHeight="1">
      <c r="A22" s="10">
        <v>21.0</v>
      </c>
      <c r="B22" s="4" t="s">
        <v>41</v>
      </c>
      <c r="C22" s="10">
        <v>2000.0</v>
      </c>
      <c r="D22" s="5">
        <v>45650.0</v>
      </c>
    </row>
    <row r="23" ht="12.75" customHeight="1">
      <c r="A23" s="10">
        <v>22.0</v>
      </c>
      <c r="B23" s="4" t="s">
        <v>42</v>
      </c>
      <c r="C23" s="10">
        <v>2000.0</v>
      </c>
      <c r="D23" s="5">
        <v>45651.0</v>
      </c>
    </row>
    <row r="24" ht="12.75" customHeight="1">
      <c r="A24" s="10">
        <v>23.0</v>
      </c>
      <c r="B24" s="4" t="s">
        <v>43</v>
      </c>
      <c r="C24" s="10">
        <v>2000.0</v>
      </c>
      <c r="D24" s="5">
        <v>45653.0</v>
      </c>
    </row>
    <row r="25" ht="12.75" customHeight="1">
      <c r="A25" s="10">
        <v>24.0</v>
      </c>
      <c r="B25" s="4" t="s">
        <v>44</v>
      </c>
      <c r="C25" s="10">
        <v>2000.0</v>
      </c>
      <c r="D25" s="5">
        <v>45656.0</v>
      </c>
    </row>
    <row r="26" ht="12.75" customHeight="1">
      <c r="A26" s="10">
        <v>25.0</v>
      </c>
      <c r="B26" s="4" t="s">
        <v>45</v>
      </c>
      <c r="C26" s="10">
        <v>2000.0</v>
      </c>
      <c r="D26" s="5">
        <v>45661.0</v>
      </c>
    </row>
    <row r="27" ht="12.75" customHeight="1">
      <c r="A27" s="10">
        <v>26.0</v>
      </c>
      <c r="B27" s="4" t="s">
        <v>46</v>
      </c>
      <c r="C27" s="10">
        <v>2000.0</v>
      </c>
      <c r="D27" s="5">
        <v>45666.0</v>
      </c>
    </row>
    <row r="28" ht="12.75" customHeight="1">
      <c r="A28" s="10">
        <v>27.0</v>
      </c>
      <c r="B28" s="4" t="s">
        <v>47</v>
      </c>
      <c r="C28" s="10">
        <v>2000.0</v>
      </c>
      <c r="D28" s="5">
        <v>45667.0</v>
      </c>
    </row>
    <row r="29" ht="12.75" customHeight="1">
      <c r="A29" s="10">
        <v>28.0</v>
      </c>
      <c r="B29" s="4" t="s">
        <v>48</v>
      </c>
      <c r="C29" s="10">
        <v>2000.0</v>
      </c>
      <c r="D29" s="5">
        <v>45671.0</v>
      </c>
    </row>
    <row r="30" ht="12.75" customHeight="1">
      <c r="A30" s="10">
        <v>29.0</v>
      </c>
      <c r="B30" s="4" t="s">
        <v>49</v>
      </c>
      <c r="C30" s="10">
        <v>2000.0</v>
      </c>
      <c r="D30" s="5">
        <v>45671.0</v>
      </c>
    </row>
    <row r="31" ht="12.75" customHeight="1">
      <c r="A31" s="10">
        <v>30.0</v>
      </c>
      <c r="B31" s="4" t="s">
        <v>50</v>
      </c>
      <c r="C31" s="10">
        <v>2000.0</v>
      </c>
      <c r="D31" s="5">
        <v>45693.0</v>
      </c>
    </row>
    <row r="32" ht="12.75" customHeight="1">
      <c r="A32" s="10">
        <v>31.0</v>
      </c>
      <c r="B32" s="4" t="s">
        <v>51</v>
      </c>
      <c r="C32" s="10">
        <v>2000.0</v>
      </c>
      <c r="D32" s="5">
        <v>45694.0</v>
      </c>
    </row>
    <row r="33" ht="12.75" customHeight="1">
      <c r="A33" s="10">
        <v>32.0</v>
      </c>
      <c r="B33" s="4" t="s">
        <v>52</v>
      </c>
      <c r="C33" s="10">
        <v>2000.0</v>
      </c>
      <c r="D33" s="5">
        <v>45709.0</v>
      </c>
    </row>
    <row r="34" ht="12.75" customHeight="1">
      <c r="A34" s="10">
        <v>33.0</v>
      </c>
      <c r="B34" s="10" t="s">
        <v>53</v>
      </c>
      <c r="C34" s="10">
        <v>2000.0</v>
      </c>
      <c r="D34" s="5">
        <v>45725.0</v>
      </c>
    </row>
    <row r="35" ht="12.75" customHeight="1">
      <c r="A35" s="10">
        <v>34.0</v>
      </c>
      <c r="B35" s="10" t="s">
        <v>54</v>
      </c>
      <c r="C35" s="10">
        <v>2000.0</v>
      </c>
      <c r="D35" s="12">
        <v>45734.0</v>
      </c>
    </row>
    <row r="36" ht="12.75" customHeight="1">
      <c r="A36" s="10">
        <v>35.0</v>
      </c>
      <c r="B36" s="10" t="s">
        <v>55</v>
      </c>
      <c r="C36" s="10">
        <v>2000.0</v>
      </c>
      <c r="D36" s="12">
        <v>45750.0</v>
      </c>
    </row>
    <row r="37" ht="12.75" customHeight="1">
      <c r="A37" s="10">
        <v>36.0</v>
      </c>
      <c r="B37" s="10" t="s">
        <v>56</v>
      </c>
      <c r="C37" s="10">
        <v>2000.0</v>
      </c>
      <c r="D37" s="12">
        <v>45773.0</v>
      </c>
    </row>
    <row r="38" ht="12.75" customHeight="1">
      <c r="A38" s="10">
        <v>37.0</v>
      </c>
      <c r="B38" s="13" t="s">
        <v>57</v>
      </c>
      <c r="C38" s="10">
        <v>250.0</v>
      </c>
      <c r="D38" s="12">
        <v>45780.0</v>
      </c>
    </row>
    <row r="39" ht="12.75" customHeight="1">
      <c r="A39" s="10">
        <v>38.0</v>
      </c>
      <c r="B39" s="10" t="s">
        <v>58</v>
      </c>
      <c r="C39" s="10">
        <v>2000.0</v>
      </c>
      <c r="D39" s="12">
        <v>45787.0</v>
      </c>
    </row>
    <row r="40" ht="12.75" customHeight="1">
      <c r="A40" s="10">
        <v>39.0</v>
      </c>
      <c r="B40" s="10" t="s">
        <v>59</v>
      </c>
      <c r="C40" s="10">
        <v>2000.0</v>
      </c>
      <c r="D40" s="12">
        <v>45787.0</v>
      </c>
    </row>
    <row r="41" ht="12.75" customHeight="1">
      <c r="A41" s="10">
        <v>40.0</v>
      </c>
      <c r="B41" s="10" t="s">
        <v>60</v>
      </c>
      <c r="C41" s="10">
        <v>2000.0</v>
      </c>
      <c r="D41" s="12">
        <v>45793.0</v>
      </c>
    </row>
    <row r="42" ht="12.75" customHeight="1">
      <c r="A42" s="10">
        <v>41.0</v>
      </c>
      <c r="B42" s="10" t="s">
        <v>61</v>
      </c>
      <c r="C42" s="10">
        <v>2000.0</v>
      </c>
      <c r="D42" s="12">
        <v>45800.0</v>
      </c>
    </row>
    <row r="43" ht="12.75" customHeight="1">
      <c r="A43" s="10">
        <v>42.0</v>
      </c>
      <c r="B43" s="10" t="s">
        <v>62</v>
      </c>
      <c r="C43" s="10">
        <v>2000.0</v>
      </c>
      <c r="D43" s="12">
        <v>45871.0</v>
      </c>
    </row>
    <row r="44" ht="12.75" customHeight="1">
      <c r="A44" s="10">
        <v>43.0</v>
      </c>
      <c r="B44" s="10" t="s">
        <v>63</v>
      </c>
      <c r="C44" s="10">
        <v>2000.0</v>
      </c>
      <c r="D44" s="12">
        <v>45901.0</v>
      </c>
    </row>
    <row r="45" ht="12.75" customHeight="1">
      <c r="A45" s="10">
        <v>44.0</v>
      </c>
      <c r="B45" s="10" t="s">
        <v>64</v>
      </c>
      <c r="C45" s="10">
        <v>2000.0</v>
      </c>
      <c r="D45" s="12">
        <v>45905.0</v>
      </c>
    </row>
    <row r="46">
      <c r="A46" s="10">
        <v>45.0</v>
      </c>
      <c r="B46" s="10" t="s">
        <v>65</v>
      </c>
      <c r="C46" s="10">
        <v>2000.0</v>
      </c>
      <c r="D46" s="12">
        <v>45940.0</v>
      </c>
    </row>
    <row r="47">
      <c r="A47" s="10">
        <v>46.0</v>
      </c>
      <c r="B47" s="10" t="s">
        <v>66</v>
      </c>
      <c r="C47" s="10">
        <v>2000.0</v>
      </c>
      <c r="D47" s="12">
        <v>45965.0</v>
      </c>
    </row>
    <row r="48">
      <c r="A48" s="10">
        <v>47.0</v>
      </c>
      <c r="B48" s="10" t="s">
        <v>67</v>
      </c>
      <c r="C48" s="10">
        <v>2000.0</v>
      </c>
      <c r="D48" s="12">
        <v>45989.0</v>
      </c>
    </row>
    <row r="49">
      <c r="A49" s="10">
        <v>48.0</v>
      </c>
      <c r="B49" s="10" t="s">
        <v>68</v>
      </c>
      <c r="C49" s="10">
        <v>2000.0</v>
      </c>
      <c r="D49" s="12">
        <v>45989.0</v>
      </c>
    </row>
    <row r="50">
      <c r="A50" s="10">
        <v>49.0</v>
      </c>
      <c r="B50" s="10" t="s">
        <v>69</v>
      </c>
      <c r="C50" s="10">
        <v>250.0</v>
      </c>
      <c r="D50" s="12">
        <v>45989.0</v>
      </c>
    </row>
    <row r="51">
      <c r="A51" s="10">
        <v>50.0</v>
      </c>
      <c r="B51" s="10" t="s">
        <v>70</v>
      </c>
      <c r="C51" s="10">
        <v>2000.0</v>
      </c>
      <c r="D51" s="12">
        <v>46024.0</v>
      </c>
    </row>
    <row r="52">
      <c r="A52" s="14">
        <v>51.0</v>
      </c>
      <c r="B52" s="14" t="s">
        <v>71</v>
      </c>
      <c r="C52" s="14">
        <v>2500.0</v>
      </c>
      <c r="D52" s="15">
        <v>46055.0</v>
      </c>
    </row>
    <row r="53" ht="12.75" customHeight="1">
      <c r="A53" s="14">
        <v>52.0</v>
      </c>
      <c r="B53" s="14" t="s">
        <v>72</v>
      </c>
      <c r="C53" s="14">
        <v>2500.0</v>
      </c>
      <c r="D53" s="15">
        <v>46063.0</v>
      </c>
    </row>
    <row r="54" ht="12.75" customHeight="1">
      <c r="A54" s="10"/>
      <c r="B54" s="10"/>
      <c r="C54" s="10"/>
      <c r="D54" s="15"/>
    </row>
    <row r="55" ht="12.75" customHeight="1">
      <c r="A55" s="10"/>
      <c r="B55" s="10"/>
      <c r="C55" s="10"/>
      <c r="D55" s="16"/>
    </row>
    <row r="56" ht="12.75" customHeight="1">
      <c r="A56" s="10"/>
      <c r="B56" s="10"/>
      <c r="C56" s="10"/>
      <c r="D56" s="16"/>
    </row>
    <row r="57" ht="12.75" customHeight="1">
      <c r="A57" s="17" t="s">
        <v>73</v>
      </c>
      <c r="B57" s="18"/>
      <c r="C57" s="10">
        <f>SUM(C2:C53)</f>
        <v>101500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</sheetData>
  <mergeCells count="1">
    <mergeCell ref="A57:B57"/>
  </mergeCells>
  <dataValidations>
    <dataValidation type="custom" allowBlank="1" showDropDown="1" sqref="D2:D34">
      <formula1>OR(NOT(ISERROR(DATEVALUE(D2))), AND(ISNUMBER(D2), LEFT(CELL("format", D2))="D"))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8.38"/>
    <col customWidth="1" min="3" max="3" width="12.75"/>
    <col customWidth="1" min="4" max="4" width="12.38"/>
    <col customWidth="1" min="5" max="6" width="12.75"/>
    <col customWidth="1" min="7" max="7" width="9.0"/>
    <col customWidth="1" min="8" max="8" width="13.0"/>
    <col customWidth="1" min="9" max="9" width="29.0"/>
    <col customWidth="1" min="10" max="10" width="12.75"/>
    <col customWidth="1" min="11" max="11" width="17.88"/>
    <col customWidth="1" min="12" max="26" width="12.75"/>
  </cols>
  <sheetData>
    <row r="1" ht="15.75" customHeight="1">
      <c r="A1" s="1" t="s">
        <v>74</v>
      </c>
      <c r="G1" s="2"/>
      <c r="H1" s="2"/>
      <c r="I1" s="2"/>
      <c r="J1" s="2"/>
      <c r="K1" s="2"/>
    </row>
    <row r="2" ht="15.75" customHeight="1">
      <c r="A2" s="3" t="s">
        <v>1</v>
      </c>
      <c r="B2" s="3" t="s">
        <v>2</v>
      </c>
      <c r="C2" s="3" t="s">
        <v>3</v>
      </c>
      <c r="D2" s="3" t="s">
        <v>75</v>
      </c>
      <c r="E2" s="3" t="s">
        <v>76</v>
      </c>
      <c r="F2" s="2"/>
      <c r="G2" s="3" t="s">
        <v>1</v>
      </c>
      <c r="H2" s="3" t="s">
        <v>5</v>
      </c>
      <c r="I2" s="3" t="s">
        <v>77</v>
      </c>
      <c r="J2" s="3" t="s">
        <v>4</v>
      </c>
      <c r="K2" s="3" t="s">
        <v>7</v>
      </c>
    </row>
    <row r="3" ht="15.75" customHeight="1">
      <c r="A3" s="3">
        <v>1.0</v>
      </c>
      <c r="B3" s="4" t="s">
        <v>8</v>
      </c>
      <c r="C3" s="5">
        <v>45650.0</v>
      </c>
      <c r="D3" s="6"/>
      <c r="E3" s="6">
        <v>500.0</v>
      </c>
      <c r="F3" s="2"/>
      <c r="G3" s="3">
        <v>1.0</v>
      </c>
      <c r="H3" s="5">
        <v>45627.0</v>
      </c>
      <c r="I3" s="4" t="s">
        <v>9</v>
      </c>
      <c r="J3" s="6">
        <v>200.0</v>
      </c>
      <c r="K3" s="4" t="s">
        <v>78</v>
      </c>
    </row>
    <row r="4" ht="15.75" customHeight="1">
      <c r="A4" s="3">
        <v>2.0</v>
      </c>
      <c r="B4" s="4" t="s">
        <v>11</v>
      </c>
      <c r="C4" s="5">
        <v>45636.0</v>
      </c>
      <c r="D4" s="6"/>
      <c r="E4" s="6">
        <v>500.0</v>
      </c>
      <c r="F4" s="2"/>
      <c r="G4" s="3">
        <v>2.0</v>
      </c>
      <c r="H4" s="5">
        <v>45629.0</v>
      </c>
      <c r="I4" s="4" t="s">
        <v>79</v>
      </c>
      <c r="J4" s="6">
        <v>4000.0</v>
      </c>
      <c r="K4" s="4" t="s">
        <v>16</v>
      </c>
    </row>
    <row r="5" ht="15.75" customHeight="1">
      <c r="A5" s="3">
        <v>3.0</v>
      </c>
      <c r="B5" s="7" t="s">
        <v>14</v>
      </c>
      <c r="C5" s="5"/>
      <c r="D5" s="6"/>
      <c r="E5" s="6">
        <v>0.0</v>
      </c>
      <c r="F5" s="2"/>
      <c r="G5" s="3">
        <v>3.0</v>
      </c>
      <c r="H5" s="5">
        <v>45629.0</v>
      </c>
      <c r="I5" s="4" t="s">
        <v>80</v>
      </c>
      <c r="J5" s="6">
        <v>6300.0</v>
      </c>
      <c r="K5" s="4" t="s">
        <v>78</v>
      </c>
    </row>
    <row r="6" ht="15.75" customHeight="1">
      <c r="A6" s="3">
        <v>4.0</v>
      </c>
      <c r="B6" s="4" t="s">
        <v>17</v>
      </c>
      <c r="C6" s="5">
        <v>45630.0</v>
      </c>
      <c r="D6" s="6">
        <v>2000.0</v>
      </c>
      <c r="E6" s="6">
        <v>500.0</v>
      </c>
      <c r="F6" s="2"/>
      <c r="G6" s="3">
        <v>4.0</v>
      </c>
      <c r="H6" s="5">
        <v>45629.0</v>
      </c>
      <c r="I6" s="4" t="s">
        <v>81</v>
      </c>
      <c r="J6" s="6">
        <v>600.0</v>
      </c>
      <c r="K6" s="4" t="s">
        <v>25</v>
      </c>
    </row>
    <row r="7" ht="15.75" customHeight="1">
      <c r="A7" s="3">
        <v>5.0</v>
      </c>
      <c r="B7" s="4" t="s">
        <v>10</v>
      </c>
      <c r="C7" s="5">
        <v>45636.0</v>
      </c>
      <c r="D7" s="6"/>
      <c r="E7" s="6">
        <v>500.0</v>
      </c>
      <c r="F7" s="2"/>
      <c r="G7" s="3">
        <v>5.0</v>
      </c>
      <c r="H7" s="5">
        <v>45633.0</v>
      </c>
      <c r="I7" s="4" t="s">
        <v>82</v>
      </c>
      <c r="J7" s="6">
        <v>170.0</v>
      </c>
      <c r="K7" s="4" t="s">
        <v>83</v>
      </c>
    </row>
    <row r="8" ht="15.75" customHeight="1">
      <c r="A8" s="3">
        <v>6.0</v>
      </c>
      <c r="B8" s="4" t="s">
        <v>19</v>
      </c>
      <c r="C8" s="5">
        <v>45637.0</v>
      </c>
      <c r="D8" s="6"/>
      <c r="E8" s="6">
        <v>500.0</v>
      </c>
      <c r="F8" s="2"/>
      <c r="G8" s="3">
        <v>6.0</v>
      </c>
      <c r="H8" s="5">
        <v>45648.0</v>
      </c>
      <c r="I8" s="4" t="s">
        <v>9</v>
      </c>
      <c r="J8" s="6">
        <v>130.0</v>
      </c>
      <c r="K8" s="4" t="s">
        <v>11</v>
      </c>
    </row>
    <row r="9" ht="15.75" customHeight="1">
      <c r="A9" s="3">
        <v>7.0</v>
      </c>
      <c r="B9" s="4" t="s">
        <v>21</v>
      </c>
      <c r="C9" s="5">
        <v>45635.0</v>
      </c>
      <c r="D9" s="6"/>
      <c r="E9" s="6">
        <v>500.0</v>
      </c>
      <c r="F9" s="2"/>
      <c r="G9" s="3">
        <v>7.0</v>
      </c>
      <c r="H9" s="5">
        <v>45651.0</v>
      </c>
      <c r="I9" s="4" t="s">
        <v>84</v>
      </c>
      <c r="J9" s="6">
        <v>3550.0</v>
      </c>
      <c r="K9" s="4" t="s">
        <v>85</v>
      </c>
    </row>
    <row r="10" ht="15.75" customHeight="1">
      <c r="A10" s="3">
        <v>8.0</v>
      </c>
      <c r="B10" s="4" t="s">
        <v>22</v>
      </c>
      <c r="C10" s="5">
        <v>45639.0</v>
      </c>
      <c r="D10" s="6"/>
      <c r="E10" s="6">
        <v>500.0</v>
      </c>
      <c r="F10" s="2"/>
      <c r="G10" s="3">
        <v>8.0</v>
      </c>
      <c r="H10" s="5">
        <v>45651.0</v>
      </c>
      <c r="I10" s="4" t="s">
        <v>86</v>
      </c>
      <c r="J10" s="6">
        <v>2000.0</v>
      </c>
      <c r="K10" s="4" t="s">
        <v>23</v>
      </c>
    </row>
    <row r="11" ht="15.75" customHeight="1">
      <c r="A11" s="3">
        <v>9.0</v>
      </c>
      <c r="B11" s="4" t="s">
        <v>23</v>
      </c>
      <c r="C11" s="5"/>
      <c r="D11" s="6"/>
      <c r="E11" s="6">
        <v>500.0</v>
      </c>
      <c r="F11" s="2"/>
      <c r="G11" s="3">
        <v>9.0</v>
      </c>
      <c r="H11" s="5">
        <v>45659.0</v>
      </c>
      <c r="I11" s="4" t="s">
        <v>87</v>
      </c>
      <c r="J11" s="6">
        <v>500.0</v>
      </c>
      <c r="K11" s="4"/>
    </row>
    <row r="12" ht="15.75" customHeight="1">
      <c r="A12" s="3">
        <v>10.0</v>
      </c>
      <c r="B12" s="4" t="s">
        <v>16</v>
      </c>
      <c r="C12" s="5">
        <v>45599.0</v>
      </c>
      <c r="D12" s="6"/>
      <c r="E12" s="6">
        <v>500.0</v>
      </c>
      <c r="F12" s="2"/>
    </row>
    <row r="13" ht="15.75" customHeight="1">
      <c r="A13" s="3">
        <v>11.0</v>
      </c>
      <c r="B13" s="4" t="s">
        <v>24</v>
      </c>
      <c r="C13" s="5"/>
      <c r="D13" s="6"/>
      <c r="E13" s="6">
        <v>500.0</v>
      </c>
      <c r="F13" s="2"/>
      <c r="G13" s="2"/>
      <c r="H13" s="2"/>
      <c r="I13" s="2"/>
      <c r="J13" s="2"/>
      <c r="K13" s="2"/>
    </row>
    <row r="14" ht="15.75" customHeight="1">
      <c r="A14" s="3">
        <v>12.0</v>
      </c>
      <c r="B14" s="4" t="s">
        <v>25</v>
      </c>
      <c r="C14" s="5">
        <v>45599.0</v>
      </c>
      <c r="D14" s="6"/>
      <c r="E14" s="6">
        <v>500.0</v>
      </c>
      <c r="F14" s="2"/>
      <c r="G14" s="2"/>
      <c r="H14" s="2"/>
      <c r="I14" s="2"/>
      <c r="J14" s="2"/>
      <c r="K14" s="2"/>
    </row>
    <row r="15" ht="15.75" customHeight="1">
      <c r="A15" s="3">
        <v>13.0</v>
      </c>
      <c r="B15" s="4" t="s">
        <v>35</v>
      </c>
      <c r="C15" s="5">
        <v>45649.0</v>
      </c>
      <c r="D15" s="19">
        <v>2000.0</v>
      </c>
      <c r="E15" s="19">
        <v>500.0</v>
      </c>
      <c r="F15" s="2"/>
      <c r="G15" s="4"/>
      <c r="H15" s="4"/>
      <c r="I15" s="4"/>
      <c r="J15" s="8">
        <f>SUM(J3:J14)</f>
        <v>17450</v>
      </c>
      <c r="K15" s="4"/>
    </row>
    <row r="16" ht="15.75" customHeight="1">
      <c r="A16" s="3">
        <v>14.0</v>
      </c>
      <c r="B16" s="4" t="s">
        <v>33</v>
      </c>
      <c r="C16" s="5">
        <v>45629.0</v>
      </c>
      <c r="D16" s="19">
        <v>2000.0</v>
      </c>
      <c r="E16" s="19">
        <v>500.0</v>
      </c>
      <c r="F16" s="2"/>
      <c r="G16" s="2"/>
      <c r="H16" s="2"/>
      <c r="I16" s="2"/>
      <c r="K16" s="2"/>
    </row>
    <row r="17" ht="15.75" customHeight="1">
      <c r="A17" s="3">
        <v>15.0</v>
      </c>
      <c r="B17" s="4" t="s">
        <v>34</v>
      </c>
      <c r="C17" s="5">
        <v>45637.0</v>
      </c>
      <c r="D17" s="19">
        <v>2000.0</v>
      </c>
      <c r="E17" s="19">
        <v>500.0</v>
      </c>
      <c r="F17" s="2"/>
      <c r="G17" s="2"/>
      <c r="H17" s="2"/>
      <c r="I17" s="2"/>
      <c r="K17" s="2"/>
    </row>
    <row r="18" ht="15.75" customHeight="1">
      <c r="A18" s="3">
        <v>16.0</v>
      </c>
      <c r="B18" s="4" t="s">
        <v>36</v>
      </c>
      <c r="C18" s="5">
        <v>45649.0</v>
      </c>
      <c r="D18" s="19">
        <v>2000.0</v>
      </c>
      <c r="E18" s="19">
        <v>500.0</v>
      </c>
      <c r="F18" s="2"/>
      <c r="G18" s="2"/>
      <c r="H18" s="2"/>
      <c r="I18" s="2"/>
      <c r="K18" s="2"/>
    </row>
    <row r="19" ht="15.75" customHeight="1">
      <c r="A19" s="3">
        <v>17.0</v>
      </c>
      <c r="B19" s="4" t="s">
        <v>37</v>
      </c>
      <c r="C19" s="5">
        <v>45649.0</v>
      </c>
      <c r="D19" s="19">
        <v>2000.0</v>
      </c>
      <c r="E19" s="19">
        <v>500.0</v>
      </c>
      <c r="F19" s="2"/>
      <c r="G19" s="2"/>
      <c r="H19" s="2"/>
      <c r="I19" s="2"/>
      <c r="K19" s="2"/>
    </row>
    <row r="20" ht="15.75" customHeight="1">
      <c r="A20" s="3">
        <v>18.0</v>
      </c>
      <c r="B20" s="4" t="s">
        <v>38</v>
      </c>
      <c r="C20" s="5">
        <v>45649.0</v>
      </c>
      <c r="D20" s="19">
        <v>2000.0</v>
      </c>
      <c r="E20" s="19">
        <v>500.0</v>
      </c>
      <c r="F20" s="2"/>
      <c r="G20" s="2"/>
      <c r="H20" s="2"/>
      <c r="I20" s="2"/>
      <c r="K20" s="2"/>
    </row>
    <row r="21" ht="15.75" customHeight="1">
      <c r="A21" s="3">
        <v>19.0</v>
      </c>
      <c r="B21" s="4" t="s">
        <v>39</v>
      </c>
      <c r="C21" s="5">
        <v>45649.0</v>
      </c>
      <c r="D21" s="19">
        <v>2000.0</v>
      </c>
      <c r="E21" s="19">
        <v>500.0</v>
      </c>
      <c r="F21" s="2"/>
      <c r="G21" s="2"/>
      <c r="H21" s="2"/>
      <c r="I21" s="2"/>
      <c r="K21" s="2"/>
    </row>
    <row r="22" ht="15.75" customHeight="1">
      <c r="A22" s="3">
        <v>20.0</v>
      </c>
      <c r="B22" s="4" t="s">
        <v>42</v>
      </c>
      <c r="C22" s="5">
        <v>45651.0</v>
      </c>
      <c r="D22" s="19">
        <v>2000.0</v>
      </c>
      <c r="E22" s="19">
        <v>500.0</v>
      </c>
      <c r="F22" s="2"/>
      <c r="G22" s="2"/>
      <c r="H22" s="2"/>
      <c r="I22" s="2"/>
      <c r="K22" s="2"/>
    </row>
    <row r="23" ht="15.75" customHeight="1">
      <c r="A23" s="3">
        <v>21.0</v>
      </c>
      <c r="B23" s="4" t="s">
        <v>41</v>
      </c>
      <c r="C23" s="5">
        <v>45650.0</v>
      </c>
      <c r="D23" s="19">
        <v>2000.0</v>
      </c>
      <c r="E23" s="19">
        <v>0.0</v>
      </c>
      <c r="F23" s="2"/>
      <c r="G23" s="2"/>
      <c r="H23" s="2"/>
      <c r="I23" s="2"/>
      <c r="K23" s="2"/>
    </row>
    <row r="24" ht="15.75" customHeight="1">
      <c r="A24" s="3">
        <v>22.0</v>
      </c>
      <c r="B24" s="4" t="s">
        <v>43</v>
      </c>
      <c r="C24" s="5">
        <v>45653.0</v>
      </c>
      <c r="D24" s="19">
        <v>2000.0</v>
      </c>
      <c r="E24" s="19">
        <v>500.0</v>
      </c>
      <c r="F24" s="2"/>
      <c r="G24" s="2"/>
      <c r="H24" s="2"/>
      <c r="I24" s="2"/>
      <c r="K24" s="2"/>
    </row>
    <row r="25" ht="15.75" customHeight="1">
      <c r="A25" s="3">
        <v>23.0</v>
      </c>
      <c r="B25" s="4" t="s">
        <v>44</v>
      </c>
      <c r="C25" s="5">
        <v>45656.0</v>
      </c>
      <c r="D25" s="19">
        <v>2000.0</v>
      </c>
      <c r="E25" s="19">
        <v>500.0</v>
      </c>
      <c r="F25" s="2"/>
      <c r="G25" s="2"/>
      <c r="H25" s="2"/>
      <c r="I25" s="2"/>
      <c r="K25" s="2"/>
    </row>
    <row r="26" ht="15.75" customHeight="1">
      <c r="A26" s="3">
        <v>24.0</v>
      </c>
      <c r="B26" s="4" t="s">
        <v>88</v>
      </c>
      <c r="C26" s="5"/>
      <c r="D26" s="19" t="s">
        <v>89</v>
      </c>
      <c r="E26" s="19"/>
      <c r="F26" s="2"/>
      <c r="G26" s="2"/>
      <c r="H26" s="2"/>
      <c r="I26" s="2"/>
      <c r="K26" s="2"/>
    </row>
    <row r="27" ht="15.75" customHeight="1">
      <c r="A27" s="3">
        <v>25.0</v>
      </c>
      <c r="B27" s="4" t="s">
        <v>48</v>
      </c>
      <c r="C27" s="5">
        <v>45671.0</v>
      </c>
      <c r="D27" s="19">
        <v>2000.0</v>
      </c>
      <c r="E27" s="19">
        <v>0.0</v>
      </c>
      <c r="F27" s="2"/>
      <c r="G27" s="2"/>
      <c r="H27" s="2"/>
      <c r="I27" s="2"/>
      <c r="K27" s="2"/>
    </row>
    <row r="28" ht="15.75" customHeight="1">
      <c r="A28" s="3">
        <v>26.0</v>
      </c>
      <c r="B28" s="4" t="s">
        <v>49</v>
      </c>
      <c r="C28" s="5">
        <v>45671.0</v>
      </c>
      <c r="D28" s="19">
        <v>2000.0</v>
      </c>
      <c r="E28" s="19">
        <v>0.0</v>
      </c>
      <c r="F28" s="2"/>
      <c r="G28" s="2"/>
      <c r="H28" s="2"/>
      <c r="I28" s="2"/>
      <c r="K28" s="2"/>
    </row>
    <row r="29" ht="15.75" customHeight="1">
      <c r="A29" s="3">
        <v>27.0</v>
      </c>
      <c r="B29" s="4" t="s">
        <v>45</v>
      </c>
      <c r="C29" s="5">
        <v>45661.0</v>
      </c>
      <c r="D29" s="19">
        <v>2000.0</v>
      </c>
      <c r="E29" s="19">
        <v>500.0</v>
      </c>
      <c r="F29" s="2"/>
      <c r="G29" s="2"/>
      <c r="H29" s="2"/>
      <c r="I29" s="2"/>
      <c r="K29" s="2"/>
    </row>
    <row r="30" ht="15.75" customHeight="1">
      <c r="A30" s="3">
        <v>28.0</v>
      </c>
      <c r="B30" s="4" t="s">
        <v>52</v>
      </c>
      <c r="C30" s="5">
        <v>45709.0</v>
      </c>
      <c r="D30" s="19">
        <v>2000.0</v>
      </c>
      <c r="E30" s="19"/>
      <c r="F30" s="2"/>
      <c r="G30" s="2"/>
      <c r="H30" s="2"/>
      <c r="I30" s="2"/>
      <c r="K30" s="2"/>
    </row>
    <row r="31" ht="15.75" customHeight="1">
      <c r="A31" s="3">
        <v>29.0</v>
      </c>
      <c r="B31" s="4" t="s">
        <v>40</v>
      </c>
      <c r="C31" s="5">
        <v>45649.0</v>
      </c>
      <c r="D31" s="19">
        <v>2000.0</v>
      </c>
      <c r="E31" s="19">
        <v>500.0</v>
      </c>
      <c r="F31" s="2"/>
      <c r="G31" s="2"/>
      <c r="H31" s="2"/>
      <c r="I31" s="2"/>
      <c r="K31" s="2"/>
    </row>
    <row r="32" ht="15.75" customHeight="1">
      <c r="A32" s="3">
        <v>30.0</v>
      </c>
      <c r="B32" s="4" t="s">
        <v>50</v>
      </c>
      <c r="C32" s="5">
        <v>45693.0</v>
      </c>
      <c r="D32" s="19">
        <v>2000.0</v>
      </c>
      <c r="E32" s="19">
        <v>0.0</v>
      </c>
      <c r="F32" s="2"/>
      <c r="G32" s="2"/>
      <c r="H32" s="2"/>
      <c r="I32" s="2"/>
      <c r="K32" s="2"/>
    </row>
    <row r="33" ht="15.75" customHeight="1">
      <c r="A33" s="3">
        <v>31.0</v>
      </c>
      <c r="B33" s="4" t="s">
        <v>51</v>
      </c>
      <c r="C33" s="5">
        <v>45694.0</v>
      </c>
      <c r="D33" s="19">
        <v>2000.0</v>
      </c>
      <c r="E33" s="19">
        <v>0.0</v>
      </c>
      <c r="F33" s="2"/>
      <c r="G33" s="2"/>
      <c r="H33" s="2"/>
      <c r="I33" s="2"/>
      <c r="K33" s="2"/>
    </row>
    <row r="34" ht="15.75" customHeight="1">
      <c r="A34" s="3">
        <v>32.0</v>
      </c>
      <c r="B34" s="4" t="s">
        <v>46</v>
      </c>
      <c r="C34" s="5">
        <v>45666.0</v>
      </c>
      <c r="D34" s="19">
        <v>2000.0</v>
      </c>
      <c r="E34" s="19">
        <v>0.0</v>
      </c>
      <c r="F34" s="2"/>
      <c r="G34" s="2"/>
      <c r="H34" s="2"/>
      <c r="I34" s="2"/>
      <c r="K34" s="2"/>
    </row>
    <row r="35" ht="15.75" customHeight="1">
      <c r="A35" s="3">
        <v>33.0</v>
      </c>
      <c r="B35" s="4" t="s">
        <v>47</v>
      </c>
      <c r="C35" s="5">
        <v>45667.0</v>
      </c>
      <c r="D35" s="19">
        <v>2000.0</v>
      </c>
      <c r="E35" s="19">
        <v>0.0</v>
      </c>
      <c r="F35" s="2"/>
      <c r="G35" s="2"/>
      <c r="H35" s="2"/>
      <c r="I35" s="2"/>
      <c r="K35" s="2"/>
    </row>
    <row r="36" ht="15.75" customHeight="1">
      <c r="A36" s="4"/>
      <c r="B36" s="4"/>
      <c r="C36" s="5"/>
      <c r="D36" s="20">
        <f t="shared" ref="D36:E36" si="1">SUM(D3:D35)</f>
        <v>42000</v>
      </c>
      <c r="E36" s="20">
        <f t="shared" si="1"/>
        <v>11500</v>
      </c>
      <c r="F36" s="2"/>
      <c r="G36" s="2"/>
      <c r="H36" s="2"/>
      <c r="I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4" t="s">
        <v>90</v>
      </c>
      <c r="C39" s="9">
        <f>D36+E36</f>
        <v>53500</v>
      </c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4" t="s">
        <v>27</v>
      </c>
      <c r="C40" s="21">
        <f>NOV!C22</f>
        <v>-2020</v>
      </c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4" t="s">
        <v>28</v>
      </c>
      <c r="C41" s="6">
        <f>D36+E36</f>
        <v>53500</v>
      </c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4" t="s">
        <v>29</v>
      </c>
      <c r="C42" s="22">
        <f>J15</f>
        <v>17450</v>
      </c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4" t="s">
        <v>30</v>
      </c>
      <c r="C43" s="8">
        <f>SUM(C40+C41-C42)</f>
        <v>34030</v>
      </c>
      <c r="D43" s="2"/>
      <c r="E43" s="2"/>
      <c r="F43" s="2"/>
      <c r="G43" s="2"/>
      <c r="H43" s="2"/>
      <c r="I43" s="2"/>
      <c r="J43" s="2"/>
      <c r="K43" s="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custom" allowBlank="1" showDropDown="1" sqref="H3:H11 C3:C36 H13:H36">
      <formula1>OR(NOT(ISERROR(DATEVALUE(C3))), AND(ISNUMBER(C3), LEFT(CELL("format", C3))="D"))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4.38"/>
    <col customWidth="1" min="3" max="6" width="10.38"/>
    <col customWidth="1" min="7" max="7" width="31.75"/>
    <col customWidth="1" min="8" max="13" width="10.38"/>
    <col customWidth="1" min="14" max="14" width="8.75"/>
    <col customWidth="1" min="15" max="15" width="16.75"/>
    <col customWidth="1" min="16" max="16" width="12.13"/>
  </cols>
  <sheetData>
    <row r="1" ht="21.75" customHeight="1">
      <c r="A1" s="23" t="s">
        <v>91</v>
      </c>
    </row>
    <row r="2">
      <c r="A2" s="3" t="s">
        <v>92</v>
      </c>
      <c r="B2" s="24" t="s">
        <v>2</v>
      </c>
      <c r="C2" s="25" t="s">
        <v>93</v>
      </c>
      <c r="D2" s="25" t="s">
        <v>94</v>
      </c>
      <c r="E2" s="24" t="s">
        <v>95</v>
      </c>
      <c r="F2" s="24" t="s">
        <v>96</v>
      </c>
      <c r="G2" s="24" t="s">
        <v>97</v>
      </c>
      <c r="H2" s="24" t="s">
        <v>98</v>
      </c>
      <c r="I2" s="24" t="s">
        <v>99</v>
      </c>
      <c r="J2" s="24" t="s">
        <v>100</v>
      </c>
      <c r="K2" s="24" t="s">
        <v>101</v>
      </c>
      <c r="L2" s="24" t="s">
        <v>102</v>
      </c>
      <c r="M2" s="24" t="s">
        <v>103</v>
      </c>
      <c r="N2" s="24" t="s">
        <v>104</v>
      </c>
      <c r="O2" s="24" t="s">
        <v>105</v>
      </c>
      <c r="P2" s="26" t="s">
        <v>106</v>
      </c>
    </row>
    <row r="3" ht="12.75" customHeight="1">
      <c r="A3" s="3">
        <v>1.0</v>
      </c>
      <c r="B3" s="13" t="s">
        <v>107</v>
      </c>
      <c r="C3" s="27" t="s">
        <v>108</v>
      </c>
      <c r="D3" s="27" t="s">
        <v>108</v>
      </c>
      <c r="E3" s="27" t="s">
        <v>108</v>
      </c>
      <c r="F3" s="28">
        <v>750.0</v>
      </c>
      <c r="G3" s="28">
        <v>750.0</v>
      </c>
      <c r="H3" s="28">
        <v>750.0</v>
      </c>
      <c r="I3" s="28">
        <v>750.0</v>
      </c>
      <c r="J3" s="28">
        <v>750.0</v>
      </c>
      <c r="K3" s="28">
        <v>750.0</v>
      </c>
      <c r="L3" s="28">
        <v>750.0</v>
      </c>
      <c r="M3" s="28">
        <v>750.0</v>
      </c>
      <c r="N3" s="28">
        <v>750.0</v>
      </c>
      <c r="O3" s="28">
        <v>500.0</v>
      </c>
      <c r="P3" s="29">
        <v>500.0</v>
      </c>
    </row>
    <row r="4" ht="12.75" customHeight="1">
      <c r="A4" s="3">
        <v>2.0</v>
      </c>
      <c r="B4" s="30" t="s">
        <v>66</v>
      </c>
      <c r="C4" s="27" t="s">
        <v>108</v>
      </c>
      <c r="D4" s="27" t="s">
        <v>108</v>
      </c>
      <c r="E4" s="27" t="s">
        <v>108</v>
      </c>
      <c r="F4" s="27" t="s">
        <v>108</v>
      </c>
      <c r="G4" s="27" t="s">
        <v>108</v>
      </c>
      <c r="H4" s="27" t="s">
        <v>108</v>
      </c>
      <c r="I4" s="27" t="s">
        <v>108</v>
      </c>
      <c r="J4" s="27" t="s">
        <v>108</v>
      </c>
      <c r="K4" s="27" t="s">
        <v>108</v>
      </c>
      <c r="L4" s="27" t="s">
        <v>108</v>
      </c>
      <c r="M4" s="31">
        <v>750.0</v>
      </c>
      <c r="N4" s="31">
        <v>750.0</v>
      </c>
      <c r="O4" s="27" t="s">
        <v>108</v>
      </c>
      <c r="P4" s="29">
        <v>500.0</v>
      </c>
    </row>
    <row r="5" ht="12.75" customHeight="1">
      <c r="A5" s="3">
        <v>3.0</v>
      </c>
      <c r="B5" s="13" t="s">
        <v>109</v>
      </c>
      <c r="C5" s="28" t="s">
        <v>110</v>
      </c>
      <c r="D5" s="28">
        <v>750.0</v>
      </c>
      <c r="E5" s="28">
        <v>750.0</v>
      </c>
      <c r="F5" s="28">
        <v>750.0</v>
      </c>
      <c r="G5" s="28">
        <v>750.0</v>
      </c>
      <c r="H5" s="28">
        <v>750.0</v>
      </c>
      <c r="I5" s="28">
        <v>750.0</v>
      </c>
      <c r="J5" s="28">
        <v>750.0</v>
      </c>
      <c r="K5" s="28">
        <v>750.0</v>
      </c>
      <c r="L5" s="28">
        <v>750.0</v>
      </c>
      <c r="M5" s="28">
        <v>750.0</v>
      </c>
      <c r="N5" s="28">
        <v>750.0</v>
      </c>
      <c r="O5" s="28">
        <v>500.0</v>
      </c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75" customHeight="1">
      <c r="A6" s="3">
        <v>4.0</v>
      </c>
      <c r="B6" s="13" t="s">
        <v>69</v>
      </c>
      <c r="C6" s="28" t="s">
        <v>108</v>
      </c>
      <c r="D6" s="28" t="s">
        <v>108</v>
      </c>
      <c r="E6" s="28" t="s">
        <v>108</v>
      </c>
      <c r="F6" s="28" t="s">
        <v>108</v>
      </c>
      <c r="G6" s="28" t="s">
        <v>108</v>
      </c>
      <c r="H6" s="28" t="s">
        <v>108</v>
      </c>
      <c r="I6" s="28" t="s">
        <v>108</v>
      </c>
      <c r="J6" s="28" t="s">
        <v>108</v>
      </c>
      <c r="K6" s="28" t="s">
        <v>108</v>
      </c>
      <c r="L6" s="28" t="s">
        <v>108</v>
      </c>
      <c r="M6" s="28" t="s">
        <v>108</v>
      </c>
      <c r="N6" s="28">
        <v>750.0</v>
      </c>
      <c r="O6" s="27" t="s">
        <v>108</v>
      </c>
      <c r="P6" s="27" t="s">
        <v>89</v>
      </c>
    </row>
    <row r="7" ht="12.75" customHeight="1">
      <c r="A7" s="3">
        <v>5.0</v>
      </c>
      <c r="B7" s="13" t="s">
        <v>111</v>
      </c>
      <c r="C7" s="27" t="s">
        <v>108</v>
      </c>
      <c r="D7" s="27" t="s">
        <v>108</v>
      </c>
      <c r="E7" s="27" t="s">
        <v>108</v>
      </c>
      <c r="F7" s="28">
        <v>750.0</v>
      </c>
      <c r="G7" s="28">
        <v>750.0</v>
      </c>
      <c r="H7" s="28">
        <v>750.0</v>
      </c>
      <c r="I7" s="28">
        <v>750.0</v>
      </c>
      <c r="J7" s="28">
        <v>750.0</v>
      </c>
      <c r="K7" s="28">
        <v>750.0</v>
      </c>
      <c r="L7" s="28">
        <v>750.0</v>
      </c>
      <c r="M7" s="28">
        <v>750.0</v>
      </c>
      <c r="N7" s="28">
        <v>750.0</v>
      </c>
      <c r="O7" s="28">
        <v>500.0</v>
      </c>
      <c r="P7" s="29">
        <v>500.0</v>
      </c>
    </row>
    <row r="8" ht="12.75" customHeight="1">
      <c r="A8" s="3">
        <v>6.0</v>
      </c>
      <c r="B8" s="13" t="s">
        <v>112</v>
      </c>
      <c r="C8" s="28">
        <v>750.0</v>
      </c>
      <c r="D8" s="28">
        <v>750.0</v>
      </c>
      <c r="E8" s="28">
        <v>750.0</v>
      </c>
      <c r="F8" s="28">
        <v>750.0</v>
      </c>
      <c r="G8" s="28">
        <v>750.0</v>
      </c>
      <c r="H8" s="28">
        <v>750.0</v>
      </c>
      <c r="I8" s="28">
        <v>750.0</v>
      </c>
      <c r="J8" s="28">
        <v>750.0</v>
      </c>
      <c r="K8" s="28">
        <v>750.0</v>
      </c>
      <c r="L8" s="28">
        <v>750.0</v>
      </c>
      <c r="M8" s="28">
        <v>750.0</v>
      </c>
      <c r="N8" s="28">
        <v>750.0</v>
      </c>
      <c r="O8" s="28">
        <v>500.0</v>
      </c>
      <c r="P8" s="34">
        <v>500.0</v>
      </c>
    </row>
    <row r="9" ht="12.75" customHeight="1">
      <c r="A9" s="3">
        <v>7.0</v>
      </c>
      <c r="B9" s="10" t="s">
        <v>58</v>
      </c>
      <c r="C9" s="27" t="s">
        <v>108</v>
      </c>
      <c r="D9" s="27" t="s">
        <v>108</v>
      </c>
      <c r="E9" s="27" t="s">
        <v>108</v>
      </c>
      <c r="F9" s="27" t="s">
        <v>108</v>
      </c>
      <c r="G9" s="28">
        <v>750.0</v>
      </c>
      <c r="H9" s="28">
        <v>750.0</v>
      </c>
      <c r="I9" s="28">
        <v>750.0</v>
      </c>
      <c r="J9" s="28">
        <v>750.0</v>
      </c>
      <c r="K9" s="28"/>
      <c r="L9" s="28"/>
      <c r="M9" s="28"/>
      <c r="N9" s="28"/>
      <c r="O9" s="27" t="s">
        <v>108</v>
      </c>
      <c r="P9" s="32"/>
    </row>
    <row r="10" ht="12.75" customHeight="1">
      <c r="A10" s="3">
        <v>8.0</v>
      </c>
      <c r="B10" s="13" t="s">
        <v>113</v>
      </c>
      <c r="C10" s="28">
        <v>750.0</v>
      </c>
      <c r="D10" s="28">
        <v>750.0</v>
      </c>
      <c r="E10" s="28">
        <v>750.0</v>
      </c>
      <c r="F10" s="28">
        <v>750.0</v>
      </c>
      <c r="G10" s="28">
        <v>750.0</v>
      </c>
      <c r="H10" s="28">
        <v>750.0</v>
      </c>
      <c r="I10" s="28">
        <v>750.0</v>
      </c>
      <c r="J10" s="28">
        <v>750.0</v>
      </c>
      <c r="K10" s="28">
        <v>750.0</v>
      </c>
      <c r="L10" s="28">
        <v>750.0</v>
      </c>
      <c r="M10" s="28">
        <v>750.0</v>
      </c>
      <c r="N10" s="28">
        <v>750.0</v>
      </c>
      <c r="O10" s="28">
        <v>500.0</v>
      </c>
      <c r="P10" s="34">
        <v>500.0</v>
      </c>
    </row>
    <row r="11" ht="12.75" customHeight="1">
      <c r="A11" s="3">
        <v>9.0</v>
      </c>
      <c r="B11" s="13" t="s">
        <v>11</v>
      </c>
      <c r="C11" s="28">
        <v>750.0</v>
      </c>
      <c r="D11" s="28">
        <v>750.0</v>
      </c>
      <c r="E11" s="28">
        <v>750.0</v>
      </c>
      <c r="F11" s="28">
        <v>500.0</v>
      </c>
      <c r="G11" s="28">
        <v>750.0</v>
      </c>
      <c r="H11" s="28">
        <v>750.0</v>
      </c>
      <c r="I11" s="28">
        <v>750.0</v>
      </c>
      <c r="J11" s="28">
        <v>750.0</v>
      </c>
      <c r="K11" s="28">
        <v>750.0</v>
      </c>
      <c r="L11" s="28">
        <v>750.0</v>
      </c>
      <c r="M11" s="28">
        <v>750.0</v>
      </c>
      <c r="N11" s="28">
        <v>750.0</v>
      </c>
      <c r="O11" s="28">
        <v>500.0</v>
      </c>
      <c r="P11" s="29">
        <v>500.0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75" customHeight="1">
      <c r="A12" s="3">
        <v>10.0</v>
      </c>
      <c r="B12" s="30" t="s">
        <v>14</v>
      </c>
      <c r="C12" s="31" t="s">
        <v>110</v>
      </c>
      <c r="D12" s="31" t="s">
        <v>110</v>
      </c>
      <c r="E12" s="31">
        <v>750.0</v>
      </c>
      <c r="F12" s="31">
        <v>750.0</v>
      </c>
      <c r="G12" s="28" t="s">
        <v>110</v>
      </c>
      <c r="H12" s="28" t="s">
        <v>110</v>
      </c>
      <c r="I12" s="31">
        <v>750.0</v>
      </c>
      <c r="J12" s="31">
        <v>750.0</v>
      </c>
      <c r="K12" s="31">
        <v>750.0</v>
      </c>
      <c r="L12" s="31">
        <v>750.0</v>
      </c>
      <c r="M12" s="31"/>
      <c r="N12" s="31"/>
      <c r="O12" s="31">
        <v>450.0</v>
      </c>
      <c r="P12" s="29">
        <v>500.0</v>
      </c>
    </row>
    <row r="13" ht="12.75" customHeight="1">
      <c r="A13" s="3">
        <v>11.0</v>
      </c>
      <c r="B13" s="13" t="s">
        <v>114</v>
      </c>
      <c r="C13" s="28">
        <v>750.0</v>
      </c>
      <c r="D13" s="28">
        <v>750.0</v>
      </c>
      <c r="E13" s="28">
        <v>750.0</v>
      </c>
      <c r="F13" s="28">
        <v>750.0</v>
      </c>
      <c r="G13" s="28">
        <v>750.0</v>
      </c>
      <c r="H13" s="28">
        <v>4750.0</v>
      </c>
      <c r="I13" s="28">
        <v>750.0</v>
      </c>
      <c r="J13" s="28">
        <v>750.0</v>
      </c>
      <c r="K13" s="28">
        <v>750.0</v>
      </c>
      <c r="L13" s="28">
        <v>750.0</v>
      </c>
      <c r="M13" s="28">
        <v>750.0</v>
      </c>
      <c r="N13" s="28">
        <v>750.0</v>
      </c>
      <c r="O13" s="28">
        <v>500.0</v>
      </c>
      <c r="P13" s="29">
        <v>500.0</v>
      </c>
    </row>
    <row r="14" ht="12.75" customHeight="1">
      <c r="A14" s="3">
        <v>12.0</v>
      </c>
      <c r="B14" s="13" t="s">
        <v>115</v>
      </c>
      <c r="C14" s="27" t="s">
        <v>108</v>
      </c>
      <c r="D14" s="27" t="s">
        <v>108</v>
      </c>
      <c r="E14" s="27" t="s">
        <v>108</v>
      </c>
      <c r="F14" s="27" t="s">
        <v>108</v>
      </c>
      <c r="G14" s="27" t="s">
        <v>108</v>
      </c>
      <c r="H14" s="27" t="s">
        <v>108</v>
      </c>
      <c r="I14" s="27" t="s">
        <v>108</v>
      </c>
      <c r="J14" s="28">
        <v>750.0</v>
      </c>
      <c r="K14" s="28">
        <v>750.0</v>
      </c>
      <c r="L14" s="28" t="s">
        <v>110</v>
      </c>
      <c r="M14" s="28">
        <v>750.0</v>
      </c>
      <c r="N14" s="28"/>
      <c r="O14" s="27" t="s">
        <v>108</v>
      </c>
      <c r="P14" s="35"/>
    </row>
    <row r="15" ht="12.75" customHeight="1">
      <c r="A15" s="3">
        <v>13.0</v>
      </c>
      <c r="B15" s="30" t="s">
        <v>116</v>
      </c>
      <c r="C15" s="31" t="s">
        <v>108</v>
      </c>
      <c r="D15" s="31" t="s">
        <v>108</v>
      </c>
      <c r="E15" s="31">
        <v>500.0</v>
      </c>
      <c r="F15" s="31">
        <v>750.0</v>
      </c>
      <c r="G15" s="31">
        <v>750.0</v>
      </c>
      <c r="H15" s="31">
        <v>750.0</v>
      </c>
      <c r="I15" s="31">
        <v>750.0</v>
      </c>
      <c r="J15" s="31">
        <v>750.0</v>
      </c>
      <c r="K15" s="31">
        <v>750.0</v>
      </c>
      <c r="L15" s="31">
        <v>750.0</v>
      </c>
      <c r="M15" s="31">
        <v>250.0</v>
      </c>
      <c r="N15" s="31"/>
      <c r="O15" s="27" t="s">
        <v>108</v>
      </c>
      <c r="P15" s="29">
        <v>500.0</v>
      </c>
    </row>
    <row r="16" ht="12.75" customHeight="1">
      <c r="A16" s="3">
        <v>14.0</v>
      </c>
      <c r="B16" s="13" t="s">
        <v>117</v>
      </c>
      <c r="C16" s="28">
        <v>750.0</v>
      </c>
      <c r="D16" s="28">
        <v>750.0</v>
      </c>
      <c r="E16" s="28">
        <v>750.0</v>
      </c>
      <c r="F16" s="28">
        <v>750.0</v>
      </c>
      <c r="G16" s="28">
        <v>750.0</v>
      </c>
      <c r="H16" s="28">
        <v>750.0</v>
      </c>
      <c r="I16" s="28">
        <v>750.0</v>
      </c>
      <c r="J16" s="28">
        <v>750.0</v>
      </c>
      <c r="K16" s="28">
        <v>750.0</v>
      </c>
      <c r="L16" s="28"/>
      <c r="M16" s="28" t="s">
        <v>110</v>
      </c>
      <c r="N16" s="28" t="s">
        <v>110</v>
      </c>
      <c r="O16" s="28">
        <v>500.0</v>
      </c>
      <c r="P16" s="29">
        <v>1000.0</v>
      </c>
    </row>
    <row r="17" ht="12.75" customHeight="1">
      <c r="A17" s="3">
        <v>15.0</v>
      </c>
      <c r="B17" s="13" t="s">
        <v>118</v>
      </c>
      <c r="C17" s="28" t="s">
        <v>110</v>
      </c>
      <c r="D17" s="28">
        <v>750.0</v>
      </c>
      <c r="E17" s="28">
        <v>750.0</v>
      </c>
      <c r="F17" s="28">
        <v>750.0</v>
      </c>
      <c r="G17" s="28"/>
      <c r="H17" s="28"/>
      <c r="I17" s="28"/>
      <c r="J17" s="28"/>
      <c r="K17" s="28"/>
      <c r="L17" s="28"/>
      <c r="M17" s="28"/>
      <c r="N17" s="28"/>
      <c r="O17" s="27" t="s">
        <v>108</v>
      </c>
      <c r="P17" s="35"/>
    </row>
    <row r="18" ht="12.75" customHeight="1">
      <c r="A18" s="3">
        <v>16.0</v>
      </c>
      <c r="B18" s="30" t="s">
        <v>63</v>
      </c>
      <c r="C18" s="27" t="s">
        <v>108</v>
      </c>
      <c r="D18" s="27" t="s">
        <v>108</v>
      </c>
      <c r="E18" s="27" t="s">
        <v>108</v>
      </c>
      <c r="F18" s="27" t="s">
        <v>108</v>
      </c>
      <c r="G18" s="27" t="s">
        <v>108</v>
      </c>
      <c r="H18" s="27" t="s">
        <v>108</v>
      </c>
      <c r="I18" s="27" t="s">
        <v>108</v>
      </c>
      <c r="J18" s="27" t="s">
        <v>108</v>
      </c>
      <c r="K18" s="31">
        <v>750.0</v>
      </c>
      <c r="L18" s="31">
        <v>750.0</v>
      </c>
      <c r="M18" s="31">
        <v>750.0</v>
      </c>
      <c r="N18" s="31">
        <v>750.0</v>
      </c>
      <c r="O18" s="27" t="s">
        <v>108</v>
      </c>
      <c r="P18" s="29">
        <v>500.0</v>
      </c>
    </row>
    <row r="19" ht="12.75" customHeight="1">
      <c r="A19" s="3">
        <v>17.0</v>
      </c>
      <c r="B19" s="4" t="s">
        <v>56</v>
      </c>
      <c r="C19" s="27" t="s">
        <v>108</v>
      </c>
      <c r="D19" s="27" t="s">
        <v>108</v>
      </c>
      <c r="E19" s="27" t="s">
        <v>108</v>
      </c>
      <c r="F19" s="27" t="s">
        <v>108</v>
      </c>
      <c r="G19" s="28">
        <v>750.0</v>
      </c>
      <c r="H19" s="28">
        <v>750.0</v>
      </c>
      <c r="I19" s="28">
        <v>750.0</v>
      </c>
      <c r="J19" s="28">
        <v>750.0</v>
      </c>
      <c r="K19" s="28" t="s">
        <v>110</v>
      </c>
      <c r="L19" s="28" t="s">
        <v>110</v>
      </c>
      <c r="M19" s="31">
        <v>750.0</v>
      </c>
      <c r="N19" s="28">
        <v>750.0</v>
      </c>
      <c r="O19" s="28">
        <v>500.0</v>
      </c>
      <c r="P19" s="29">
        <v>500.0</v>
      </c>
    </row>
    <row r="20" ht="12.75" customHeight="1">
      <c r="A20" s="3">
        <v>18.0</v>
      </c>
      <c r="B20" s="13" t="s">
        <v>119</v>
      </c>
      <c r="C20" s="28">
        <v>750.0</v>
      </c>
      <c r="D20" s="28">
        <v>750.0</v>
      </c>
      <c r="E20" s="28">
        <v>750.0</v>
      </c>
      <c r="F20" s="28">
        <v>750.0</v>
      </c>
      <c r="G20" s="28">
        <v>750.0</v>
      </c>
      <c r="H20" s="28">
        <v>750.0</v>
      </c>
      <c r="I20" s="28">
        <v>750.0</v>
      </c>
      <c r="J20" s="28">
        <v>750.0</v>
      </c>
      <c r="K20" s="28">
        <v>750.0</v>
      </c>
      <c r="L20" s="28">
        <v>750.0</v>
      </c>
      <c r="M20" s="28">
        <v>750.0</v>
      </c>
      <c r="N20" s="28">
        <v>750.0</v>
      </c>
      <c r="O20" s="28">
        <v>500.0</v>
      </c>
      <c r="P20" s="29">
        <v>500.0</v>
      </c>
    </row>
    <row r="21" ht="12.75" customHeight="1">
      <c r="A21" s="3">
        <v>19.0</v>
      </c>
      <c r="B21" s="13" t="s">
        <v>21</v>
      </c>
      <c r="C21" s="28">
        <v>750.0</v>
      </c>
      <c r="D21" s="28">
        <v>750.0</v>
      </c>
      <c r="E21" s="28">
        <v>750.0</v>
      </c>
      <c r="F21" s="28">
        <v>750.0</v>
      </c>
      <c r="G21" s="28">
        <v>750.0</v>
      </c>
      <c r="H21" s="28">
        <v>750.0</v>
      </c>
      <c r="I21" s="28">
        <v>750.0</v>
      </c>
      <c r="J21" s="28">
        <v>750.0</v>
      </c>
      <c r="K21" s="28">
        <v>750.0</v>
      </c>
      <c r="L21" s="28">
        <v>750.0</v>
      </c>
      <c r="M21" s="28">
        <v>750.0</v>
      </c>
      <c r="N21" s="28">
        <v>750.0</v>
      </c>
      <c r="O21" s="28">
        <v>500.0</v>
      </c>
      <c r="P21" s="29">
        <v>500.0</v>
      </c>
    </row>
    <row r="22" ht="12.75" customHeight="1">
      <c r="A22" s="3">
        <v>20.0</v>
      </c>
      <c r="B22" s="13" t="s">
        <v>120</v>
      </c>
      <c r="C22" s="28" t="s">
        <v>108</v>
      </c>
      <c r="D22" s="28" t="s">
        <v>108</v>
      </c>
      <c r="E22" s="28" t="s">
        <v>108</v>
      </c>
      <c r="F22" s="28" t="s">
        <v>108</v>
      </c>
      <c r="G22" s="28" t="s">
        <v>108</v>
      </c>
      <c r="H22" s="28" t="s">
        <v>108</v>
      </c>
      <c r="I22" s="28" t="s">
        <v>108</v>
      </c>
      <c r="J22" s="28" t="s">
        <v>108</v>
      </c>
      <c r="K22" s="28" t="s">
        <v>108</v>
      </c>
      <c r="L22" s="28" t="s">
        <v>108</v>
      </c>
      <c r="M22" s="28" t="s">
        <v>108</v>
      </c>
      <c r="N22" s="28">
        <v>750.0</v>
      </c>
      <c r="O22" s="27" t="s">
        <v>108</v>
      </c>
      <c r="P22" s="27" t="s">
        <v>89</v>
      </c>
    </row>
    <row r="23" ht="12.75" customHeight="1">
      <c r="A23" s="3">
        <v>21.0</v>
      </c>
      <c r="B23" s="13" t="s">
        <v>39</v>
      </c>
      <c r="C23" s="28">
        <v>750.0</v>
      </c>
      <c r="D23" s="28">
        <v>750.0</v>
      </c>
      <c r="E23" s="28">
        <v>750.0</v>
      </c>
      <c r="F23" s="28">
        <v>750.0</v>
      </c>
      <c r="G23" s="28">
        <v>750.0</v>
      </c>
      <c r="H23" s="28">
        <v>750.0</v>
      </c>
      <c r="I23" s="28">
        <v>750.0</v>
      </c>
      <c r="J23" s="28">
        <v>750.0</v>
      </c>
      <c r="K23" s="28">
        <v>750.0</v>
      </c>
      <c r="L23" s="28">
        <v>750.0</v>
      </c>
      <c r="M23" s="28">
        <v>750.0</v>
      </c>
      <c r="N23" s="28">
        <v>750.0</v>
      </c>
      <c r="O23" s="28">
        <v>500.0</v>
      </c>
      <c r="P23" s="29">
        <v>500.0</v>
      </c>
    </row>
    <row r="24" ht="12.75" customHeight="1">
      <c r="A24" s="3">
        <v>22.0</v>
      </c>
      <c r="B24" s="13" t="s">
        <v>121</v>
      </c>
      <c r="C24" s="28">
        <v>750.0</v>
      </c>
      <c r="D24" s="28">
        <v>750.0</v>
      </c>
      <c r="E24" s="28">
        <v>750.0</v>
      </c>
      <c r="F24" s="28">
        <v>750.0</v>
      </c>
      <c r="G24" s="28">
        <v>750.0</v>
      </c>
      <c r="H24" s="28">
        <v>750.0</v>
      </c>
      <c r="I24" s="28">
        <v>750.0</v>
      </c>
      <c r="J24" s="28">
        <v>750.0</v>
      </c>
      <c r="K24" s="28">
        <v>750.0</v>
      </c>
      <c r="L24" s="28">
        <v>750.0</v>
      </c>
      <c r="M24" s="28">
        <v>750.0</v>
      </c>
      <c r="N24" s="28">
        <v>750.0</v>
      </c>
      <c r="O24" s="28">
        <v>500.0</v>
      </c>
      <c r="P24" s="34">
        <v>500.0</v>
      </c>
    </row>
    <row r="25" ht="12.75" customHeight="1">
      <c r="A25" s="3">
        <v>23.0</v>
      </c>
      <c r="B25" s="13" t="s">
        <v>122</v>
      </c>
      <c r="C25" s="28">
        <v>750.0</v>
      </c>
      <c r="D25" s="28">
        <v>750.0</v>
      </c>
      <c r="E25" s="28">
        <v>750.0</v>
      </c>
      <c r="F25" s="28">
        <v>750.0</v>
      </c>
      <c r="G25" s="28">
        <v>750.0</v>
      </c>
      <c r="H25" s="28">
        <v>750.0</v>
      </c>
      <c r="I25" s="28">
        <v>750.0</v>
      </c>
      <c r="J25" s="28">
        <v>750.0</v>
      </c>
      <c r="K25" s="28">
        <v>750.0</v>
      </c>
      <c r="L25" s="28">
        <v>750.0</v>
      </c>
      <c r="M25" s="28">
        <v>750.0</v>
      </c>
      <c r="N25" s="28">
        <v>750.0</v>
      </c>
      <c r="O25" s="28">
        <v>500.0</v>
      </c>
      <c r="P25" s="29">
        <v>500.0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">
        <v>24.0</v>
      </c>
      <c r="B26" s="10" t="s">
        <v>123</v>
      </c>
      <c r="C26" s="27" t="s">
        <v>108</v>
      </c>
      <c r="D26" s="27" t="s">
        <v>108</v>
      </c>
      <c r="E26" s="27" t="s">
        <v>108</v>
      </c>
      <c r="F26" s="27" t="s">
        <v>108</v>
      </c>
      <c r="G26" s="28">
        <v>750.0</v>
      </c>
      <c r="H26" s="28">
        <v>750.0</v>
      </c>
      <c r="I26" s="28">
        <v>750.0</v>
      </c>
      <c r="J26" s="28">
        <v>750.0</v>
      </c>
      <c r="K26" s="28">
        <v>750.0</v>
      </c>
      <c r="L26" s="28">
        <v>750.0</v>
      </c>
      <c r="M26" s="28">
        <v>750.0</v>
      </c>
      <c r="N26" s="28">
        <v>750.0</v>
      </c>
      <c r="O26" s="27" t="s">
        <v>108</v>
      </c>
      <c r="P26" s="29">
        <v>500.0</v>
      </c>
    </row>
    <row r="27" ht="12.75" customHeight="1">
      <c r="A27" s="3">
        <v>25.0</v>
      </c>
      <c r="B27" s="13" t="s">
        <v>124</v>
      </c>
      <c r="C27" s="28">
        <v>750.0</v>
      </c>
      <c r="D27" s="28">
        <v>750.0</v>
      </c>
      <c r="E27" s="28">
        <v>750.0</v>
      </c>
      <c r="F27" s="28">
        <v>750.0</v>
      </c>
      <c r="G27" s="28">
        <v>750.0</v>
      </c>
      <c r="H27" s="28">
        <v>750.0</v>
      </c>
      <c r="I27" s="28">
        <v>750.0</v>
      </c>
      <c r="J27" s="28">
        <v>750.0</v>
      </c>
      <c r="K27" s="28">
        <v>750.0</v>
      </c>
      <c r="L27" s="28">
        <v>750.0</v>
      </c>
      <c r="M27" s="28">
        <v>750.0</v>
      </c>
      <c r="N27" s="28">
        <v>750.0</v>
      </c>
      <c r="O27" s="28">
        <v>500.0</v>
      </c>
      <c r="P27" s="34">
        <v>500.0</v>
      </c>
    </row>
    <row r="28" ht="12.75" customHeight="1">
      <c r="A28" s="3">
        <v>26.0</v>
      </c>
      <c r="B28" s="13" t="s">
        <v>44</v>
      </c>
      <c r="C28" s="28">
        <v>750.0</v>
      </c>
      <c r="D28" s="28">
        <v>750.0</v>
      </c>
      <c r="E28" s="28">
        <v>750.0</v>
      </c>
      <c r="F28" s="28">
        <v>750.0</v>
      </c>
      <c r="G28" s="28">
        <v>750.0</v>
      </c>
      <c r="H28" s="28">
        <v>750.0</v>
      </c>
      <c r="I28" s="28">
        <v>750.0</v>
      </c>
      <c r="J28" s="28">
        <v>750.0</v>
      </c>
      <c r="K28" s="28">
        <v>750.0</v>
      </c>
      <c r="L28" s="28">
        <v>750.0</v>
      </c>
      <c r="M28" s="28">
        <v>750.0</v>
      </c>
      <c r="N28" s="28">
        <v>750.0</v>
      </c>
      <c r="O28" s="28">
        <v>500.0</v>
      </c>
      <c r="P28" s="34">
        <v>500.0</v>
      </c>
    </row>
    <row r="29" ht="12.75" customHeight="1">
      <c r="A29" s="3">
        <v>27.0</v>
      </c>
      <c r="B29" s="36" t="s">
        <v>125</v>
      </c>
      <c r="C29" s="37">
        <v>750.0</v>
      </c>
      <c r="D29" s="37">
        <v>750.0</v>
      </c>
      <c r="E29" s="37">
        <v>750.0</v>
      </c>
      <c r="F29" s="37">
        <v>750.0</v>
      </c>
      <c r="G29" s="37">
        <v>750.0</v>
      </c>
      <c r="H29" s="37">
        <v>750.0</v>
      </c>
      <c r="I29" s="37">
        <v>750.0</v>
      </c>
      <c r="J29" s="37">
        <v>750.0</v>
      </c>
      <c r="K29" s="37">
        <v>750.0</v>
      </c>
      <c r="L29" s="37">
        <v>750.0</v>
      </c>
      <c r="M29" s="37">
        <v>750.0</v>
      </c>
      <c r="N29" s="37">
        <v>750.0</v>
      </c>
      <c r="O29" s="28">
        <v>500.0</v>
      </c>
      <c r="P29" s="29">
        <v>500.0</v>
      </c>
    </row>
    <row r="30" ht="12.75" customHeight="1">
      <c r="A30" s="3">
        <v>28.0</v>
      </c>
      <c r="B30" s="13" t="s">
        <v>88</v>
      </c>
      <c r="C30" s="27" t="s">
        <v>89</v>
      </c>
      <c r="D30" s="27" t="s">
        <v>89</v>
      </c>
      <c r="E30" s="27" t="s">
        <v>89</v>
      </c>
      <c r="F30" s="27" t="s">
        <v>89</v>
      </c>
      <c r="G30" s="27" t="s">
        <v>89</v>
      </c>
      <c r="H30" s="27" t="s">
        <v>89</v>
      </c>
      <c r="I30" s="27" t="s">
        <v>89</v>
      </c>
      <c r="J30" s="28">
        <v>750.0</v>
      </c>
      <c r="K30" s="27" t="s">
        <v>89</v>
      </c>
      <c r="L30" s="27" t="s">
        <v>89</v>
      </c>
      <c r="M30" s="27" t="s">
        <v>89</v>
      </c>
      <c r="N30" s="27" t="s">
        <v>89</v>
      </c>
      <c r="O30" s="27" t="s">
        <v>89</v>
      </c>
      <c r="P30" s="34">
        <v>500.0</v>
      </c>
    </row>
    <row r="31" ht="12.75" customHeight="1">
      <c r="A31" s="3">
        <v>29.0</v>
      </c>
      <c r="B31" s="4" t="s">
        <v>67</v>
      </c>
      <c r="C31" s="28" t="s">
        <v>108</v>
      </c>
      <c r="D31" s="28" t="s">
        <v>108</v>
      </c>
      <c r="E31" s="28" t="s">
        <v>108</v>
      </c>
      <c r="F31" s="28">
        <v>750.0</v>
      </c>
      <c r="G31" s="28" t="s">
        <v>108</v>
      </c>
      <c r="H31" s="28" t="s">
        <v>108</v>
      </c>
      <c r="I31" s="28" t="s">
        <v>108</v>
      </c>
      <c r="J31" s="28" t="s">
        <v>108</v>
      </c>
      <c r="K31" s="28" t="s">
        <v>108</v>
      </c>
      <c r="L31" s="28" t="s">
        <v>108</v>
      </c>
      <c r="M31" s="28" t="s">
        <v>108</v>
      </c>
      <c r="N31" s="28">
        <v>750.0</v>
      </c>
      <c r="O31" s="27" t="s">
        <v>108</v>
      </c>
      <c r="P31" s="27" t="s">
        <v>89</v>
      </c>
    </row>
    <row r="32" ht="12.75" customHeight="1">
      <c r="A32" s="3">
        <v>30.0</v>
      </c>
      <c r="B32" s="30" t="s">
        <v>23</v>
      </c>
      <c r="C32" s="38">
        <v>750.0</v>
      </c>
      <c r="D32" s="38">
        <v>750.0</v>
      </c>
      <c r="E32" s="38">
        <v>750.0</v>
      </c>
      <c r="F32" s="38">
        <v>750.0</v>
      </c>
      <c r="G32" s="31">
        <v>750.0</v>
      </c>
      <c r="H32" s="31">
        <v>750.0</v>
      </c>
      <c r="I32" s="31">
        <v>750.0</v>
      </c>
      <c r="J32" s="27" t="s">
        <v>108</v>
      </c>
      <c r="K32" s="31">
        <v>750.0</v>
      </c>
      <c r="L32" s="31">
        <v>750.0</v>
      </c>
      <c r="M32" s="31">
        <v>750.0</v>
      </c>
      <c r="N32" s="31">
        <v>900.0</v>
      </c>
      <c r="O32" s="39">
        <v>500.0</v>
      </c>
      <c r="P32" s="29">
        <v>500.0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3.5" customHeight="1">
      <c r="A33" s="3">
        <v>31.0</v>
      </c>
      <c r="B33" s="13" t="s">
        <v>126</v>
      </c>
      <c r="C33" s="27" t="s">
        <v>108</v>
      </c>
      <c r="D33" s="27" t="s">
        <v>108</v>
      </c>
      <c r="E33" s="27" t="s">
        <v>108</v>
      </c>
      <c r="F33" s="27" t="s">
        <v>108</v>
      </c>
      <c r="G33" s="27" t="s">
        <v>108</v>
      </c>
      <c r="H33" s="27" t="s">
        <v>108</v>
      </c>
      <c r="I33" s="27" t="s">
        <v>108</v>
      </c>
      <c r="J33" s="28">
        <v>750.0</v>
      </c>
      <c r="K33" s="28">
        <v>750.0</v>
      </c>
      <c r="L33" s="28">
        <v>750.0</v>
      </c>
      <c r="M33" s="28">
        <v>750.0</v>
      </c>
      <c r="N33" s="28">
        <v>750.0</v>
      </c>
      <c r="O33" s="27" t="s">
        <v>108</v>
      </c>
      <c r="P33" s="29">
        <v>500.0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3">
        <v>32.0</v>
      </c>
      <c r="B34" s="13" t="s">
        <v>127</v>
      </c>
      <c r="C34" s="40">
        <v>750.0</v>
      </c>
      <c r="D34" s="40">
        <v>750.0</v>
      </c>
      <c r="E34" s="40">
        <v>750.0</v>
      </c>
      <c r="F34" s="40">
        <v>750.0</v>
      </c>
      <c r="G34" s="40">
        <v>750.0</v>
      </c>
      <c r="H34" s="40">
        <v>750.0</v>
      </c>
      <c r="I34" s="40">
        <v>750.0</v>
      </c>
      <c r="J34" s="40">
        <v>750.0</v>
      </c>
      <c r="K34" s="40">
        <v>750.0</v>
      </c>
      <c r="L34" s="40">
        <v>750.0</v>
      </c>
      <c r="M34" s="40">
        <v>750.0</v>
      </c>
      <c r="N34" s="40">
        <v>750.0</v>
      </c>
      <c r="O34" s="40">
        <v>500.0</v>
      </c>
      <c r="P34" s="34">
        <v>500.0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3">
        <v>33.0</v>
      </c>
      <c r="B35" s="13" t="s">
        <v>70</v>
      </c>
      <c r="C35" s="27" t="s">
        <v>108</v>
      </c>
      <c r="D35" s="27" t="s">
        <v>108</v>
      </c>
      <c r="E35" s="27" t="s">
        <v>108</v>
      </c>
      <c r="F35" s="27" t="s">
        <v>108</v>
      </c>
      <c r="G35" s="27" t="s">
        <v>108</v>
      </c>
      <c r="H35" s="27" t="s">
        <v>108</v>
      </c>
      <c r="I35" s="27" t="s">
        <v>108</v>
      </c>
      <c r="J35" s="27" t="s">
        <v>108</v>
      </c>
      <c r="K35" s="27" t="s">
        <v>108</v>
      </c>
      <c r="L35" s="27" t="s">
        <v>108</v>
      </c>
      <c r="M35" s="27" t="s">
        <v>108</v>
      </c>
      <c r="N35" s="27" t="s">
        <v>108</v>
      </c>
      <c r="O35" s="27" t="s">
        <v>108</v>
      </c>
      <c r="P35" s="29">
        <v>500.0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3">
        <v>34.0</v>
      </c>
      <c r="B36" s="13" t="s">
        <v>128</v>
      </c>
      <c r="C36" s="28">
        <v>750.0</v>
      </c>
      <c r="D36" s="28">
        <v>750.0</v>
      </c>
      <c r="E36" s="28">
        <v>750.0</v>
      </c>
      <c r="F36" s="28">
        <v>750.0</v>
      </c>
      <c r="G36" s="28">
        <v>750.0</v>
      </c>
      <c r="H36" s="28">
        <v>800.0</v>
      </c>
      <c r="I36" s="28">
        <v>750.0</v>
      </c>
      <c r="J36" s="28">
        <v>750.0</v>
      </c>
      <c r="K36" s="28">
        <v>750.0</v>
      </c>
      <c r="L36" s="28">
        <v>750.0</v>
      </c>
      <c r="M36" s="28">
        <v>750.0</v>
      </c>
      <c r="N36" s="28">
        <v>750.0</v>
      </c>
      <c r="O36" s="28">
        <v>500.0</v>
      </c>
      <c r="P36" s="34">
        <v>500.0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3">
        <v>35.0</v>
      </c>
      <c r="B37" s="13" t="s">
        <v>68</v>
      </c>
      <c r="C37" s="28" t="s">
        <v>108</v>
      </c>
      <c r="D37" s="28" t="s">
        <v>108</v>
      </c>
      <c r="E37" s="28" t="s">
        <v>108</v>
      </c>
      <c r="F37" s="28">
        <v>750.0</v>
      </c>
      <c r="G37" s="28" t="s">
        <v>108</v>
      </c>
      <c r="H37" s="28" t="s">
        <v>108</v>
      </c>
      <c r="I37" s="28" t="s">
        <v>108</v>
      </c>
      <c r="J37" s="28" t="s">
        <v>108</v>
      </c>
      <c r="K37" s="28" t="s">
        <v>108</v>
      </c>
      <c r="L37" s="28" t="s">
        <v>108</v>
      </c>
      <c r="M37" s="28" t="s">
        <v>108</v>
      </c>
      <c r="N37" s="28">
        <v>750.0</v>
      </c>
      <c r="O37" s="27" t="s">
        <v>108</v>
      </c>
      <c r="P37" s="27" t="s">
        <v>89</v>
      </c>
    </row>
    <row r="38" ht="12.75" customHeight="1">
      <c r="A38" s="3">
        <v>36.0</v>
      </c>
      <c r="B38" s="13" t="s">
        <v>25</v>
      </c>
      <c r="C38" s="28">
        <v>750.0</v>
      </c>
      <c r="D38" s="28">
        <v>750.0</v>
      </c>
      <c r="E38" s="28">
        <v>750.0</v>
      </c>
      <c r="F38" s="28">
        <v>750.0</v>
      </c>
      <c r="G38" s="28">
        <v>750.0</v>
      </c>
      <c r="H38" s="28">
        <v>750.0</v>
      </c>
      <c r="I38" s="28">
        <v>750.0</v>
      </c>
      <c r="J38" s="28">
        <v>750.0</v>
      </c>
      <c r="K38" s="28">
        <v>750.0</v>
      </c>
      <c r="L38" s="28">
        <v>750.0</v>
      </c>
      <c r="M38" s="28">
        <v>750.0</v>
      </c>
      <c r="N38" s="28">
        <v>750.0</v>
      </c>
      <c r="O38" s="28">
        <v>500.0</v>
      </c>
      <c r="P38" s="29">
        <v>500.0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3"/>
      <c r="B39" s="13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9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41">
        <v>7.0</v>
      </c>
      <c r="B40" s="42" t="s">
        <v>129</v>
      </c>
      <c r="C40" s="43" t="s">
        <v>110</v>
      </c>
      <c r="D40" s="43" t="s">
        <v>110</v>
      </c>
      <c r="E40" s="43">
        <v>750.0</v>
      </c>
      <c r="F40" s="43">
        <v>750.0</v>
      </c>
      <c r="G40" s="43">
        <v>750.0</v>
      </c>
      <c r="H40" s="43" t="s">
        <v>110</v>
      </c>
      <c r="I40" s="43" t="s">
        <v>110</v>
      </c>
      <c r="J40" s="43">
        <v>750.0</v>
      </c>
      <c r="K40" s="43">
        <v>750.0</v>
      </c>
      <c r="L40" s="43" t="s">
        <v>110</v>
      </c>
      <c r="M40" s="43" t="s">
        <v>110</v>
      </c>
      <c r="N40" s="43" t="s">
        <v>110</v>
      </c>
      <c r="O40" s="43">
        <v>500.0</v>
      </c>
      <c r="P40" s="4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75" customHeight="1">
      <c r="A41" s="41">
        <v>15.0</v>
      </c>
      <c r="B41" s="42" t="s">
        <v>64</v>
      </c>
      <c r="C41" s="43" t="s">
        <v>108</v>
      </c>
      <c r="D41" s="43" t="s">
        <v>108</v>
      </c>
      <c r="E41" s="43" t="s">
        <v>108</v>
      </c>
      <c r="F41" s="43" t="s">
        <v>108</v>
      </c>
      <c r="G41" s="43" t="s">
        <v>108</v>
      </c>
      <c r="H41" s="43" t="s">
        <v>108</v>
      </c>
      <c r="I41" s="43" t="s">
        <v>108</v>
      </c>
      <c r="J41" s="43" t="s">
        <v>108</v>
      </c>
      <c r="K41" s="43" t="s">
        <v>108</v>
      </c>
      <c r="L41" s="43" t="s">
        <v>110</v>
      </c>
      <c r="M41" s="43" t="s">
        <v>110</v>
      </c>
      <c r="N41" s="43" t="s">
        <v>110</v>
      </c>
      <c r="O41" s="43" t="s">
        <v>108</v>
      </c>
      <c r="P41" s="44"/>
    </row>
    <row r="42" ht="12.75" customHeight="1">
      <c r="A42" s="41">
        <v>29.0</v>
      </c>
      <c r="B42" s="42" t="s">
        <v>130</v>
      </c>
      <c r="C42" s="43">
        <v>750.0</v>
      </c>
      <c r="D42" s="43">
        <v>750.0</v>
      </c>
      <c r="E42" s="43">
        <v>750.0</v>
      </c>
      <c r="F42" s="43">
        <v>750.0</v>
      </c>
      <c r="G42" s="43">
        <v>750.0</v>
      </c>
      <c r="H42" s="43">
        <v>750.0</v>
      </c>
      <c r="I42" s="43">
        <v>750.0</v>
      </c>
      <c r="J42" s="43">
        <v>750.0</v>
      </c>
      <c r="K42" s="43" t="s">
        <v>110</v>
      </c>
      <c r="L42" s="43" t="s">
        <v>110</v>
      </c>
      <c r="M42" s="43" t="s">
        <v>110</v>
      </c>
      <c r="N42" s="43" t="s">
        <v>110</v>
      </c>
      <c r="O42" s="43">
        <v>500.0</v>
      </c>
      <c r="P42" s="44"/>
    </row>
    <row r="43" ht="12.75" customHeight="1">
      <c r="A43" s="41">
        <v>36.0</v>
      </c>
      <c r="B43" s="42" t="s">
        <v>131</v>
      </c>
      <c r="C43" s="43" t="s">
        <v>110</v>
      </c>
      <c r="D43" s="43">
        <v>750.0</v>
      </c>
      <c r="E43" s="43">
        <v>750.0</v>
      </c>
      <c r="F43" s="43"/>
      <c r="G43" s="43"/>
      <c r="H43" s="43"/>
      <c r="I43" s="43"/>
      <c r="J43" s="43"/>
      <c r="K43" s="43" t="s">
        <v>110</v>
      </c>
      <c r="L43" s="43" t="s">
        <v>110</v>
      </c>
      <c r="M43" s="43" t="s">
        <v>110</v>
      </c>
      <c r="N43" s="43" t="s">
        <v>110</v>
      </c>
      <c r="O43" s="43" t="s">
        <v>108</v>
      </c>
      <c r="P43" s="45"/>
    </row>
    <row r="44" ht="12.75" customHeight="1">
      <c r="A44" s="41">
        <v>22.0</v>
      </c>
      <c r="B44" s="42" t="s">
        <v>46</v>
      </c>
      <c r="C44" s="43" t="s">
        <v>110</v>
      </c>
      <c r="D44" s="43">
        <v>750.0</v>
      </c>
      <c r="E44" s="43">
        <v>750.0</v>
      </c>
      <c r="F44" s="43">
        <v>750.0</v>
      </c>
      <c r="G44" s="43">
        <v>750.0</v>
      </c>
      <c r="H44" s="43">
        <v>750.0</v>
      </c>
      <c r="I44" s="43">
        <v>750.0</v>
      </c>
      <c r="J44" s="43">
        <v>750.0</v>
      </c>
      <c r="K44" s="43"/>
      <c r="L44" s="43"/>
      <c r="M44" s="43"/>
      <c r="N44" s="43"/>
      <c r="O44" s="43">
        <v>500.0</v>
      </c>
      <c r="P44" s="29"/>
    </row>
    <row r="45" ht="12.75" customHeight="1">
      <c r="A45" s="41">
        <v>26.0</v>
      </c>
      <c r="B45" s="42" t="s">
        <v>132</v>
      </c>
      <c r="C45" s="43" t="s">
        <v>108</v>
      </c>
      <c r="D45" s="43" t="s">
        <v>108</v>
      </c>
      <c r="E45" s="43" t="s">
        <v>108</v>
      </c>
      <c r="F45" s="43" t="s">
        <v>108</v>
      </c>
      <c r="G45" s="43" t="s">
        <v>108</v>
      </c>
      <c r="H45" s="43" t="s">
        <v>108</v>
      </c>
      <c r="I45" s="43" t="s">
        <v>108</v>
      </c>
      <c r="J45" s="43">
        <v>750.0</v>
      </c>
      <c r="K45" s="43"/>
      <c r="L45" s="43"/>
      <c r="M45" s="43"/>
      <c r="N45" s="43"/>
      <c r="O45" s="43"/>
      <c r="P45" s="29"/>
    </row>
    <row r="46" ht="12.75" customHeight="1">
      <c r="A46" s="41"/>
      <c r="B46" s="42" t="s">
        <v>133</v>
      </c>
      <c r="C46" s="43" t="s">
        <v>108</v>
      </c>
      <c r="D46" s="43" t="s">
        <v>108</v>
      </c>
      <c r="E46" s="43" t="s">
        <v>108</v>
      </c>
      <c r="F46" s="43">
        <v>750.0</v>
      </c>
      <c r="G46" s="43"/>
      <c r="H46" s="43"/>
      <c r="I46" s="43"/>
      <c r="J46" s="43"/>
      <c r="K46" s="43"/>
      <c r="L46" s="43"/>
      <c r="M46" s="43"/>
      <c r="N46" s="43"/>
      <c r="O46" s="43"/>
      <c r="P46" s="46"/>
    </row>
    <row r="47" ht="12.75" customHeight="1">
      <c r="A47" s="3">
        <v>32.0</v>
      </c>
      <c r="B47" s="42" t="s">
        <v>17</v>
      </c>
      <c r="C47" s="43">
        <v>750.0</v>
      </c>
      <c r="D47" s="43">
        <v>750.0</v>
      </c>
      <c r="E47" s="43">
        <v>750.0</v>
      </c>
      <c r="F47" s="43">
        <v>750.0</v>
      </c>
      <c r="G47" s="43"/>
      <c r="H47" s="43"/>
      <c r="I47" s="43"/>
      <c r="J47" s="43"/>
      <c r="K47" s="43"/>
      <c r="L47" s="43"/>
      <c r="M47" s="43"/>
      <c r="N47" s="43"/>
      <c r="O47" s="43">
        <v>500.0</v>
      </c>
      <c r="P47" s="46"/>
    </row>
    <row r="48" ht="12.75" customHeight="1">
      <c r="A48" s="3">
        <v>34.0</v>
      </c>
      <c r="B48" s="42" t="s">
        <v>134</v>
      </c>
      <c r="C48" s="43" t="s">
        <v>108</v>
      </c>
      <c r="D48" s="43" t="s">
        <v>108</v>
      </c>
      <c r="E48" s="43" t="s">
        <v>89</v>
      </c>
      <c r="F48" s="43" t="s">
        <v>89</v>
      </c>
      <c r="G48" s="43" t="s">
        <v>89</v>
      </c>
      <c r="H48" s="43"/>
      <c r="I48" s="43"/>
      <c r="J48" s="43"/>
      <c r="K48" s="43"/>
      <c r="L48" s="43"/>
      <c r="M48" s="43"/>
      <c r="N48" s="43"/>
      <c r="O48" s="43" t="s">
        <v>89</v>
      </c>
      <c r="P48" s="29"/>
    </row>
    <row r="49" ht="12.75" customHeight="1">
      <c r="A49" s="3">
        <v>35.0</v>
      </c>
      <c r="B49" s="42" t="s">
        <v>135</v>
      </c>
      <c r="C49" s="43" t="s">
        <v>108</v>
      </c>
      <c r="D49" s="43" t="s">
        <v>108</v>
      </c>
      <c r="E49" s="43" t="s">
        <v>108</v>
      </c>
      <c r="F49" s="43"/>
      <c r="G49" s="43"/>
      <c r="H49" s="43"/>
      <c r="I49" s="43"/>
      <c r="J49" s="43"/>
      <c r="K49" s="43"/>
      <c r="L49" s="43"/>
      <c r="M49" s="43"/>
      <c r="N49" s="43"/>
      <c r="O49" s="47"/>
      <c r="P49" s="29"/>
    </row>
    <row r="50" ht="12.75" customHeight="1">
      <c r="A50" s="3">
        <v>36.0</v>
      </c>
      <c r="B50" s="42" t="s">
        <v>57</v>
      </c>
      <c r="C50" s="43" t="s">
        <v>108</v>
      </c>
      <c r="D50" s="43" t="s">
        <v>108</v>
      </c>
      <c r="E50" s="43" t="s">
        <v>108</v>
      </c>
      <c r="F50" s="43" t="s">
        <v>108</v>
      </c>
      <c r="G50" s="43">
        <v>750.0</v>
      </c>
      <c r="H50" s="43"/>
      <c r="I50" s="43"/>
      <c r="J50" s="43"/>
      <c r="K50" s="43"/>
      <c r="L50" s="43"/>
      <c r="M50" s="43"/>
      <c r="N50" s="43"/>
      <c r="O50" s="47" t="s">
        <v>108</v>
      </c>
      <c r="P50" s="29"/>
    </row>
    <row r="51" ht="12.75" customHeight="1">
      <c r="A51" s="48"/>
      <c r="B51" s="42" t="s">
        <v>136</v>
      </c>
      <c r="C51" s="47" t="s">
        <v>110</v>
      </c>
      <c r="D51" s="47"/>
      <c r="E51" s="47"/>
      <c r="F51" s="47"/>
      <c r="G51" s="43"/>
      <c r="H51" s="43"/>
      <c r="I51" s="43"/>
      <c r="J51" s="43"/>
      <c r="K51" s="43"/>
      <c r="L51" s="43"/>
      <c r="M51" s="43"/>
      <c r="N51" s="43"/>
      <c r="O51" s="47"/>
      <c r="P51" s="29"/>
    </row>
    <row r="52" ht="12.75" customHeight="1">
      <c r="A52" s="41"/>
      <c r="B52" s="42" t="s">
        <v>137</v>
      </c>
      <c r="C52" s="47">
        <v>750.0</v>
      </c>
      <c r="D52" s="47">
        <v>750.0</v>
      </c>
      <c r="E52" s="47"/>
      <c r="F52" s="47"/>
      <c r="G52" s="49"/>
      <c r="H52" s="49"/>
      <c r="I52" s="49"/>
      <c r="J52" s="49"/>
      <c r="K52" s="49"/>
      <c r="L52" s="49"/>
      <c r="M52" s="49"/>
      <c r="N52" s="49"/>
      <c r="O52" s="50"/>
      <c r="P52" s="29"/>
    </row>
    <row r="53" ht="13.5" customHeight="1">
      <c r="A53" s="41"/>
      <c r="B53" s="42" t="s">
        <v>138</v>
      </c>
      <c r="C53" s="43">
        <v>750.0</v>
      </c>
      <c r="D53" s="43">
        <v>750.0</v>
      </c>
      <c r="E53" s="43"/>
      <c r="F53" s="43"/>
      <c r="G53" s="49"/>
      <c r="H53" s="49"/>
      <c r="I53" s="49"/>
      <c r="J53" s="49"/>
      <c r="K53" s="49"/>
      <c r="L53" s="49"/>
      <c r="M53" s="49"/>
      <c r="N53" s="49"/>
      <c r="O53" s="28"/>
      <c r="P53" s="29"/>
    </row>
    <row r="54" ht="12.75" customHeight="1">
      <c r="A54" s="41"/>
      <c r="B54" s="42" t="s">
        <v>47</v>
      </c>
      <c r="C54" s="43" t="s">
        <v>110</v>
      </c>
      <c r="D54" s="43">
        <v>750.0</v>
      </c>
      <c r="E54" s="43">
        <v>750.0</v>
      </c>
      <c r="F54" s="43"/>
      <c r="G54" s="51"/>
      <c r="H54" s="51"/>
      <c r="I54" s="51"/>
      <c r="J54" s="51"/>
      <c r="K54" s="51"/>
      <c r="L54" s="51"/>
      <c r="M54" s="51"/>
      <c r="N54" s="51"/>
      <c r="O54" s="28"/>
      <c r="P54" s="29"/>
    </row>
    <row r="55" ht="12.75" customHeight="1">
      <c r="A55" s="48"/>
      <c r="B55" s="52" t="s">
        <v>48</v>
      </c>
      <c r="C55" s="43" t="s">
        <v>139</v>
      </c>
      <c r="D55" s="53"/>
      <c r="E55" s="53"/>
      <c r="F55" s="43"/>
      <c r="G55" s="54"/>
      <c r="H55" s="55"/>
      <c r="I55" s="56"/>
      <c r="J55" s="56"/>
      <c r="K55" s="56"/>
      <c r="L55" s="56"/>
      <c r="M55" s="56"/>
      <c r="N55" s="56"/>
      <c r="O55" s="28"/>
      <c r="P55" s="29"/>
    </row>
    <row r="56" ht="12.75" customHeight="1">
      <c r="A56" s="48"/>
      <c r="B56" s="52" t="s">
        <v>49</v>
      </c>
      <c r="C56" s="43" t="s">
        <v>139</v>
      </c>
      <c r="D56" s="53"/>
      <c r="E56" s="53"/>
      <c r="F56" s="43"/>
      <c r="G56" s="54"/>
      <c r="H56" s="55"/>
      <c r="I56" s="56"/>
      <c r="J56" s="56"/>
      <c r="K56" s="56"/>
      <c r="L56" s="56"/>
      <c r="M56" s="56"/>
      <c r="N56" s="56"/>
      <c r="O56" s="28"/>
      <c r="P56" s="29"/>
    </row>
    <row r="57" ht="12.75" customHeight="1">
      <c r="A57" s="57"/>
      <c r="B57" s="58"/>
      <c r="C57" s="59"/>
      <c r="D57" s="60"/>
      <c r="E57" s="60"/>
      <c r="F57" s="59"/>
      <c r="G57" s="61"/>
      <c r="H57" s="62"/>
      <c r="I57" s="63"/>
      <c r="J57" s="63"/>
      <c r="K57" s="63"/>
      <c r="L57" s="63"/>
      <c r="M57" s="63"/>
      <c r="N57" s="63"/>
      <c r="O57" s="64"/>
      <c r="P57" s="65"/>
    </row>
    <row r="58" ht="12.75" customHeight="1">
      <c r="A58" s="66"/>
      <c r="B58" s="67"/>
      <c r="C58" s="68"/>
      <c r="D58" s="69"/>
      <c r="E58" s="69"/>
      <c r="F58" s="68"/>
      <c r="G58" s="63"/>
      <c r="H58" s="64"/>
      <c r="I58" s="63"/>
      <c r="J58" s="63"/>
      <c r="K58" s="63"/>
      <c r="L58" s="63"/>
      <c r="M58" s="63"/>
      <c r="N58" s="63"/>
      <c r="O58" s="64"/>
      <c r="P58" s="65"/>
    </row>
    <row r="59" ht="12.75" customHeight="1">
      <c r="B59" s="26"/>
      <c r="C59" s="70">
        <f t="shared" ref="C59:P59" si="1">SUM(C3:C58)</f>
        <v>15750</v>
      </c>
      <c r="D59" s="70">
        <f t="shared" si="1"/>
        <v>19500</v>
      </c>
      <c r="E59" s="70">
        <f t="shared" si="1"/>
        <v>20000</v>
      </c>
      <c r="F59" s="70">
        <f t="shared" si="1"/>
        <v>22250</v>
      </c>
      <c r="G59" s="70">
        <f t="shared" si="1"/>
        <v>21000</v>
      </c>
      <c r="H59" s="70">
        <f t="shared" si="1"/>
        <v>23550</v>
      </c>
      <c r="I59" s="70">
        <f t="shared" si="1"/>
        <v>20250</v>
      </c>
      <c r="J59" s="70">
        <f t="shared" si="1"/>
        <v>23250</v>
      </c>
      <c r="K59" s="70">
        <f t="shared" si="1"/>
        <v>20250</v>
      </c>
      <c r="L59" s="70">
        <f t="shared" si="1"/>
        <v>18000</v>
      </c>
      <c r="M59" s="70">
        <f t="shared" si="1"/>
        <v>19000</v>
      </c>
      <c r="N59" s="70">
        <f t="shared" si="1"/>
        <v>21150</v>
      </c>
      <c r="O59" s="70">
        <f t="shared" si="1"/>
        <v>12950</v>
      </c>
      <c r="P59" s="70">
        <f t="shared" si="1"/>
        <v>14500</v>
      </c>
    </row>
    <row r="60" ht="12.75" customHeight="1">
      <c r="C60" s="71"/>
      <c r="D60" s="71"/>
      <c r="F60" s="72"/>
      <c r="H60" s="72"/>
    </row>
    <row r="61" ht="12.75" customHeight="1">
      <c r="C61" s="71"/>
      <c r="D61" s="71"/>
      <c r="F61" s="72"/>
      <c r="H61" s="72"/>
    </row>
    <row r="62" ht="12.75" customHeight="1">
      <c r="C62" s="71"/>
      <c r="D62" s="71"/>
      <c r="F62" s="72"/>
      <c r="H62" s="72"/>
    </row>
    <row r="63" ht="12.75" customHeight="1">
      <c r="B63" s="73" t="s">
        <v>140</v>
      </c>
      <c r="C63" s="71">
        <f>'Registration Fee'!C57+DEC!E36</f>
        <v>113000</v>
      </c>
      <c r="D63" s="71">
        <f>SUM(C59:P59)</f>
        <v>271400</v>
      </c>
      <c r="F63" s="72"/>
      <c r="G63" s="74">
        <f>D63+C63+C80</f>
        <v>585400</v>
      </c>
      <c r="H63" s="72"/>
    </row>
    <row r="64" ht="12.75" customHeight="1">
      <c r="B64" s="73" t="s">
        <v>141</v>
      </c>
      <c r="C64" s="71">
        <f>NOV!C21+DEC!C42</f>
        <v>41470</v>
      </c>
      <c r="D64" s="71">
        <f>H64</f>
        <v>385268</v>
      </c>
      <c r="F64" s="72"/>
      <c r="G64" s="74">
        <f>D64+C64+C86</f>
        <v>521738</v>
      </c>
      <c r="H64" s="75">
        <f>SUM(H66:H825)</f>
        <v>385268</v>
      </c>
    </row>
    <row r="65" ht="12.75" customHeight="1">
      <c r="C65" s="71"/>
      <c r="D65" s="71"/>
      <c r="E65" s="76" t="s">
        <v>1</v>
      </c>
      <c r="F65" s="77" t="s">
        <v>5</v>
      </c>
      <c r="G65" s="76" t="s">
        <v>142</v>
      </c>
      <c r="H65" s="77" t="s">
        <v>4</v>
      </c>
      <c r="I65" s="76" t="s">
        <v>7</v>
      </c>
      <c r="J65" s="78" t="s">
        <v>143</v>
      </c>
    </row>
    <row r="66" ht="12.75" customHeight="1">
      <c r="C66" s="71"/>
      <c r="D66" s="71"/>
      <c r="E66" s="3">
        <v>1.0</v>
      </c>
      <c r="F66" s="79">
        <v>45667.0</v>
      </c>
      <c r="G66" s="4" t="s">
        <v>144</v>
      </c>
      <c r="H66" s="13">
        <v>8000.0</v>
      </c>
      <c r="I66" s="4" t="s">
        <v>16</v>
      </c>
      <c r="J66" s="73" t="s">
        <v>145</v>
      </c>
    </row>
    <row r="67" ht="12.75" customHeight="1">
      <c r="B67" s="2"/>
      <c r="C67" s="80"/>
      <c r="D67" s="71"/>
      <c r="E67" s="3">
        <v>2.0</v>
      </c>
      <c r="F67" s="79">
        <v>45670.0</v>
      </c>
      <c r="G67" s="4" t="s">
        <v>146</v>
      </c>
      <c r="H67" s="13">
        <v>2000.0</v>
      </c>
      <c r="I67" s="4" t="s">
        <v>16</v>
      </c>
      <c r="J67" s="73" t="s">
        <v>147</v>
      </c>
    </row>
    <row r="68" ht="12.75" customHeight="1">
      <c r="B68" s="4" t="s">
        <v>28</v>
      </c>
      <c r="C68" s="81">
        <f t="shared" ref="C68:C69" si="2">G63</f>
        <v>585400</v>
      </c>
      <c r="D68" s="71"/>
      <c r="E68" s="3">
        <v>3.0</v>
      </c>
      <c r="F68" s="79">
        <v>45672.0</v>
      </c>
      <c r="G68" s="4" t="s">
        <v>148</v>
      </c>
      <c r="H68" s="13">
        <v>3800.0</v>
      </c>
      <c r="I68" s="4" t="s">
        <v>16</v>
      </c>
      <c r="J68" s="73" t="s">
        <v>145</v>
      </c>
    </row>
    <row r="69" ht="12.75" customHeight="1">
      <c r="B69" s="82" t="s">
        <v>29</v>
      </c>
      <c r="C69" s="83">
        <f t="shared" si="2"/>
        <v>521738</v>
      </c>
      <c r="D69" s="71"/>
      <c r="E69" s="3">
        <v>4.0</v>
      </c>
      <c r="F69" s="79">
        <v>45675.0</v>
      </c>
      <c r="G69" s="4" t="s">
        <v>149</v>
      </c>
      <c r="H69" s="13">
        <v>400.0</v>
      </c>
      <c r="I69" s="4" t="s">
        <v>16</v>
      </c>
      <c r="J69" s="73" t="s">
        <v>145</v>
      </c>
    </row>
    <row r="70" ht="12.75" customHeight="1">
      <c r="B70" s="84" t="s">
        <v>30</v>
      </c>
      <c r="C70" s="85">
        <f>SUM(C67+C68-C69)</f>
        <v>63662</v>
      </c>
      <c r="D70" s="71"/>
      <c r="E70" s="3">
        <v>5.0</v>
      </c>
      <c r="F70" s="79">
        <v>45680.0</v>
      </c>
      <c r="G70" s="4" t="s">
        <v>150</v>
      </c>
      <c r="H70" s="13">
        <v>800.0</v>
      </c>
      <c r="I70" s="4" t="s">
        <v>16</v>
      </c>
      <c r="J70" s="73" t="s">
        <v>151</v>
      </c>
    </row>
    <row r="71" ht="12.75" customHeight="1">
      <c r="B71" s="4"/>
      <c r="C71" s="86"/>
      <c r="D71" s="71"/>
      <c r="E71" s="3">
        <v>6.0</v>
      </c>
      <c r="F71" s="79">
        <v>45681.0</v>
      </c>
      <c r="G71" s="4" t="s">
        <v>152</v>
      </c>
      <c r="H71" s="13">
        <v>1000.0</v>
      </c>
      <c r="I71" s="4" t="s">
        <v>16</v>
      </c>
      <c r="J71" s="73" t="s">
        <v>145</v>
      </c>
    </row>
    <row r="72" ht="12.75" customHeight="1">
      <c r="B72" s="2"/>
      <c r="C72" s="87"/>
      <c r="D72" s="71"/>
      <c r="E72" s="3">
        <v>7.0</v>
      </c>
      <c r="F72" s="79">
        <v>45682.0</v>
      </c>
      <c r="G72" s="4" t="s">
        <v>149</v>
      </c>
      <c r="H72" s="13">
        <v>400.0</v>
      </c>
      <c r="I72" s="4" t="s">
        <v>16</v>
      </c>
      <c r="J72" s="73" t="s">
        <v>145</v>
      </c>
    </row>
    <row r="73" ht="12.75" customHeight="1">
      <c r="A73" s="73">
        <v>1.0</v>
      </c>
      <c r="B73" s="88" t="s">
        <v>153</v>
      </c>
      <c r="C73" s="89">
        <v>40000.0</v>
      </c>
      <c r="D73" s="71"/>
      <c r="E73" s="3">
        <v>8.0</v>
      </c>
      <c r="F73" s="79">
        <v>45682.0</v>
      </c>
      <c r="G73" s="4" t="s">
        <v>9</v>
      </c>
      <c r="H73" s="13">
        <v>660.0</v>
      </c>
      <c r="I73" s="4" t="s">
        <v>16</v>
      </c>
      <c r="J73" s="73" t="s">
        <v>147</v>
      </c>
    </row>
    <row r="74" ht="12.75" customHeight="1">
      <c r="A74" s="73">
        <v>2.0</v>
      </c>
      <c r="B74" s="88" t="s">
        <v>154</v>
      </c>
      <c r="C74" s="89">
        <v>35000.0</v>
      </c>
      <c r="D74" s="71"/>
      <c r="E74" s="90">
        <v>9.0</v>
      </c>
      <c r="F74" s="91">
        <v>45689.0</v>
      </c>
      <c r="G74" s="84" t="s">
        <v>155</v>
      </c>
      <c r="H74" s="36">
        <v>3200.0</v>
      </c>
      <c r="I74" s="84" t="s">
        <v>156</v>
      </c>
      <c r="J74" s="73" t="s">
        <v>145</v>
      </c>
    </row>
    <row r="75" ht="12.75" customHeight="1">
      <c r="A75" s="73">
        <v>3.0</v>
      </c>
      <c r="B75" s="88" t="s">
        <v>157</v>
      </c>
      <c r="C75" s="89">
        <v>25000.0</v>
      </c>
      <c r="D75" s="71"/>
      <c r="E75" s="3">
        <v>10.0</v>
      </c>
      <c r="F75" s="79">
        <v>45696.0</v>
      </c>
      <c r="G75" s="4" t="s">
        <v>158</v>
      </c>
      <c r="H75" s="13">
        <v>4000.0</v>
      </c>
      <c r="I75" s="84" t="s">
        <v>156</v>
      </c>
      <c r="J75" s="73" t="s">
        <v>145</v>
      </c>
    </row>
    <row r="76" ht="12.75" customHeight="1">
      <c r="A76" s="73">
        <v>4.0</v>
      </c>
      <c r="B76" s="88" t="s">
        <v>159</v>
      </c>
      <c r="C76" s="89">
        <v>25000.0</v>
      </c>
      <c r="D76" s="71"/>
      <c r="E76" s="3">
        <v>11.0</v>
      </c>
      <c r="F76" s="79">
        <v>45699.0</v>
      </c>
      <c r="G76" s="4" t="s">
        <v>160</v>
      </c>
      <c r="H76" s="13">
        <v>25080.0</v>
      </c>
      <c r="I76" s="84" t="s">
        <v>156</v>
      </c>
      <c r="J76" s="73" t="s">
        <v>151</v>
      </c>
    </row>
    <row r="77" ht="12.75" customHeight="1">
      <c r="A77" s="73">
        <v>5.0</v>
      </c>
      <c r="B77" s="88" t="s">
        <v>161</v>
      </c>
      <c r="C77" s="89">
        <v>45000.0</v>
      </c>
      <c r="D77" s="71"/>
      <c r="E77" s="3">
        <v>12.0</v>
      </c>
      <c r="F77" s="79">
        <v>45700.0</v>
      </c>
      <c r="G77" s="4" t="s">
        <v>162</v>
      </c>
      <c r="H77" s="13">
        <v>2850.0</v>
      </c>
      <c r="I77" s="84" t="s">
        <v>156</v>
      </c>
      <c r="J77" s="73" t="s">
        <v>145</v>
      </c>
    </row>
    <row r="78" ht="12.75" customHeight="1">
      <c r="A78" s="73">
        <v>6.0</v>
      </c>
      <c r="B78" s="88" t="s">
        <v>163</v>
      </c>
      <c r="C78" s="89">
        <v>31000.0</v>
      </c>
      <c r="D78" s="71"/>
      <c r="E78" s="3">
        <v>13.0</v>
      </c>
      <c r="F78" s="79">
        <v>45700.0</v>
      </c>
      <c r="G78" s="4" t="s">
        <v>164</v>
      </c>
      <c r="H78" s="13">
        <v>7500.0</v>
      </c>
      <c r="I78" s="84" t="s">
        <v>156</v>
      </c>
      <c r="J78" s="73" t="s">
        <v>145</v>
      </c>
    </row>
    <row r="79" ht="12.75" customHeight="1">
      <c r="B79" s="88"/>
      <c r="C79" s="89"/>
      <c r="D79" s="71"/>
      <c r="E79" s="3">
        <v>14.0</v>
      </c>
      <c r="F79" s="79">
        <v>45703.0</v>
      </c>
      <c r="G79" s="4" t="s">
        <v>148</v>
      </c>
      <c r="H79" s="13">
        <v>3900.0</v>
      </c>
      <c r="I79" s="84" t="s">
        <v>156</v>
      </c>
      <c r="J79" s="73" t="s">
        <v>145</v>
      </c>
    </row>
    <row r="80" ht="12.75" customHeight="1">
      <c r="B80" s="92" t="s">
        <v>165</v>
      </c>
      <c r="C80" s="93">
        <f>SUM(C73:C79)</f>
        <v>201000</v>
      </c>
      <c r="D80" s="71"/>
      <c r="E80" s="3">
        <v>15.0</v>
      </c>
      <c r="F80" s="79">
        <v>45710.0</v>
      </c>
      <c r="G80" s="4" t="s">
        <v>164</v>
      </c>
      <c r="H80" s="13">
        <v>7500.0</v>
      </c>
      <c r="I80" s="84" t="s">
        <v>156</v>
      </c>
      <c r="J80" s="73" t="s">
        <v>145</v>
      </c>
    </row>
    <row r="81" ht="12.75" customHeight="1">
      <c r="B81" s="94"/>
      <c r="C81" s="95"/>
      <c r="D81" s="71"/>
      <c r="E81" s="3">
        <v>16.0</v>
      </c>
      <c r="F81" s="79">
        <v>45711.0</v>
      </c>
      <c r="G81" s="10" t="s">
        <v>166</v>
      </c>
      <c r="H81" s="13">
        <v>240.0</v>
      </c>
      <c r="I81" s="84" t="s">
        <v>156</v>
      </c>
      <c r="J81" s="73" t="s">
        <v>151</v>
      </c>
    </row>
    <row r="82" ht="12.75" customHeight="1">
      <c r="B82" s="96" t="s">
        <v>167</v>
      </c>
      <c r="C82" s="97">
        <v>40000.0</v>
      </c>
      <c r="D82" s="71"/>
      <c r="E82" s="3">
        <v>17.0</v>
      </c>
      <c r="F82" s="79">
        <v>45717.0</v>
      </c>
      <c r="G82" s="10" t="s">
        <v>158</v>
      </c>
      <c r="H82" s="13">
        <v>4000.0</v>
      </c>
      <c r="I82" s="84" t="s">
        <v>156</v>
      </c>
      <c r="J82" s="73" t="s">
        <v>145</v>
      </c>
    </row>
    <row r="83" ht="12.75" customHeight="1">
      <c r="B83" s="98" t="s">
        <v>168</v>
      </c>
      <c r="C83" s="97">
        <v>55000.0</v>
      </c>
      <c r="D83" s="71"/>
      <c r="E83" s="3">
        <v>18.0</v>
      </c>
      <c r="F83" s="79">
        <v>45724.0</v>
      </c>
      <c r="G83" s="4" t="s">
        <v>148</v>
      </c>
      <c r="H83" s="13">
        <v>4000.0</v>
      </c>
      <c r="I83" s="84" t="s">
        <v>156</v>
      </c>
      <c r="J83" s="73" t="s">
        <v>145</v>
      </c>
    </row>
    <row r="84" ht="12.75" customHeight="1">
      <c r="B84" s="98"/>
      <c r="C84" s="97"/>
      <c r="D84" s="71"/>
      <c r="E84" s="3">
        <v>19.0</v>
      </c>
      <c r="F84" s="79">
        <v>45725.0</v>
      </c>
      <c r="G84" s="10" t="s">
        <v>169</v>
      </c>
      <c r="H84" s="13">
        <v>4900.0</v>
      </c>
      <c r="I84" s="84" t="s">
        <v>156</v>
      </c>
      <c r="J84" s="73" t="s">
        <v>151</v>
      </c>
    </row>
    <row r="85" ht="12.75" customHeight="1">
      <c r="B85" s="98"/>
      <c r="C85" s="97"/>
      <c r="D85" s="71"/>
      <c r="E85" s="3">
        <v>20.0</v>
      </c>
      <c r="F85" s="79">
        <v>45729.0</v>
      </c>
      <c r="G85" s="10" t="s">
        <v>170</v>
      </c>
      <c r="H85" s="13">
        <v>3300.0</v>
      </c>
      <c r="I85" s="84" t="s">
        <v>156</v>
      </c>
      <c r="J85" s="73" t="s">
        <v>145</v>
      </c>
    </row>
    <row r="86" ht="12.75" customHeight="1">
      <c r="B86" s="99" t="s">
        <v>171</v>
      </c>
      <c r="C86" s="100">
        <f>SUM(C82:C85)</f>
        <v>95000</v>
      </c>
      <c r="D86" s="71"/>
      <c r="E86" s="3">
        <v>21.0</v>
      </c>
      <c r="F86" s="79">
        <v>45732.0</v>
      </c>
      <c r="G86" s="11" t="s">
        <v>158</v>
      </c>
      <c r="H86" s="101">
        <v>4000.0</v>
      </c>
      <c r="I86" s="82" t="s">
        <v>172</v>
      </c>
      <c r="J86" s="73" t="s">
        <v>145</v>
      </c>
    </row>
    <row r="87" ht="12.75" customHeight="1">
      <c r="C87" s="71"/>
      <c r="D87" s="102"/>
      <c r="E87" s="3">
        <v>22.0</v>
      </c>
      <c r="F87" s="79">
        <v>45738.0</v>
      </c>
      <c r="G87" s="10" t="s">
        <v>158</v>
      </c>
      <c r="H87" s="13">
        <v>4000.0</v>
      </c>
      <c r="I87" s="84" t="s">
        <v>156</v>
      </c>
      <c r="J87" s="73" t="s">
        <v>145</v>
      </c>
    </row>
    <row r="88" ht="12.75" customHeight="1">
      <c r="C88" s="71"/>
      <c r="D88" s="102"/>
      <c r="E88" s="3">
        <v>23.0</v>
      </c>
      <c r="F88" s="79">
        <v>45745.0</v>
      </c>
      <c r="G88" s="10" t="s">
        <v>173</v>
      </c>
      <c r="H88" s="13">
        <v>4600.0</v>
      </c>
      <c r="I88" s="10" t="s">
        <v>156</v>
      </c>
      <c r="J88" s="73" t="s">
        <v>145</v>
      </c>
    </row>
    <row r="89" ht="12.75" customHeight="1">
      <c r="C89" s="71"/>
      <c r="D89" s="102"/>
      <c r="E89" s="3">
        <v>24.0</v>
      </c>
      <c r="F89" s="79">
        <v>45746.0</v>
      </c>
      <c r="G89" s="10" t="s">
        <v>174</v>
      </c>
      <c r="H89" s="13">
        <v>1400.0</v>
      </c>
      <c r="I89" s="10" t="s">
        <v>156</v>
      </c>
      <c r="J89" s="73" t="s">
        <v>151</v>
      </c>
    </row>
    <row r="90" ht="12.75" customHeight="1">
      <c r="C90" s="71"/>
      <c r="D90" s="102"/>
      <c r="E90" s="3">
        <v>25.0</v>
      </c>
      <c r="F90" s="79">
        <v>45747.0</v>
      </c>
      <c r="G90" s="10" t="s">
        <v>175</v>
      </c>
      <c r="H90" s="13">
        <v>3000.0</v>
      </c>
      <c r="I90" s="10" t="s">
        <v>156</v>
      </c>
      <c r="J90" s="73" t="s">
        <v>151</v>
      </c>
    </row>
    <row r="91" ht="12.75" customHeight="1">
      <c r="C91" s="71"/>
      <c r="D91" s="102"/>
      <c r="E91" s="3">
        <v>26.0</v>
      </c>
      <c r="F91" s="79">
        <v>45748.0</v>
      </c>
      <c r="G91" s="10" t="s">
        <v>176</v>
      </c>
      <c r="H91" s="13">
        <v>320.0</v>
      </c>
      <c r="I91" s="10" t="s">
        <v>156</v>
      </c>
      <c r="J91" s="73" t="s">
        <v>151</v>
      </c>
    </row>
    <row r="92" ht="12.75" customHeight="1">
      <c r="C92" s="71"/>
      <c r="D92" s="102"/>
      <c r="E92" s="3">
        <v>27.0</v>
      </c>
      <c r="F92" s="79">
        <v>45752.0</v>
      </c>
      <c r="G92" s="10" t="s">
        <v>148</v>
      </c>
      <c r="H92" s="13">
        <v>4000.0</v>
      </c>
      <c r="I92" s="10" t="s">
        <v>156</v>
      </c>
      <c r="J92" s="73" t="s">
        <v>145</v>
      </c>
    </row>
    <row r="93" ht="12.75" customHeight="1">
      <c r="C93" s="71"/>
      <c r="D93" s="102"/>
      <c r="E93" s="3">
        <v>28.0</v>
      </c>
      <c r="F93" s="79">
        <v>45759.0</v>
      </c>
      <c r="G93" s="10" t="s">
        <v>148</v>
      </c>
      <c r="H93" s="13">
        <v>4200.0</v>
      </c>
      <c r="I93" s="10" t="s">
        <v>156</v>
      </c>
      <c r="J93" s="73" t="s">
        <v>145</v>
      </c>
    </row>
    <row r="94" ht="12.75" customHeight="1">
      <c r="C94" s="71"/>
      <c r="D94" s="102"/>
      <c r="E94" s="3">
        <v>29.0</v>
      </c>
      <c r="F94" s="79">
        <v>45760.0</v>
      </c>
      <c r="G94" s="10" t="s">
        <v>177</v>
      </c>
      <c r="H94" s="13">
        <v>6300.0</v>
      </c>
      <c r="I94" s="10" t="s">
        <v>156</v>
      </c>
      <c r="J94" s="73" t="s">
        <v>178</v>
      </c>
    </row>
    <row r="95" ht="12.75" customHeight="1">
      <c r="C95" s="71"/>
      <c r="D95" s="102"/>
      <c r="E95" s="3">
        <v>30.0</v>
      </c>
      <c r="F95" s="79">
        <v>45765.0</v>
      </c>
      <c r="G95" s="10" t="s">
        <v>148</v>
      </c>
      <c r="H95" s="13">
        <v>3900.0</v>
      </c>
      <c r="I95" s="10" t="s">
        <v>156</v>
      </c>
      <c r="J95" s="73" t="s">
        <v>145</v>
      </c>
    </row>
    <row r="96" ht="12.75" customHeight="1">
      <c r="C96" s="71"/>
      <c r="D96" s="102"/>
      <c r="E96" s="3">
        <v>31.0</v>
      </c>
      <c r="F96" s="79">
        <v>45766.0</v>
      </c>
      <c r="G96" s="10" t="s">
        <v>179</v>
      </c>
      <c r="H96" s="13">
        <v>750.0</v>
      </c>
      <c r="I96" s="10" t="s">
        <v>156</v>
      </c>
      <c r="J96" s="73" t="s">
        <v>151</v>
      </c>
    </row>
    <row r="97" ht="12.75" customHeight="1">
      <c r="C97" s="71"/>
      <c r="D97" s="102"/>
      <c r="E97" s="3">
        <v>32.0</v>
      </c>
      <c r="F97" s="79">
        <v>45767.0</v>
      </c>
      <c r="G97" s="10" t="s">
        <v>164</v>
      </c>
      <c r="H97" s="13">
        <v>7500.0</v>
      </c>
      <c r="I97" s="10" t="s">
        <v>156</v>
      </c>
      <c r="J97" s="73" t="s">
        <v>145</v>
      </c>
    </row>
    <row r="98" ht="12.75" customHeight="1">
      <c r="C98" s="71"/>
      <c r="D98" s="102"/>
      <c r="E98" s="3">
        <v>33.0</v>
      </c>
      <c r="F98" s="79">
        <v>45768.0</v>
      </c>
      <c r="G98" s="10" t="s">
        <v>180</v>
      </c>
      <c r="H98" s="13">
        <v>11000.0</v>
      </c>
      <c r="I98" s="10" t="s">
        <v>156</v>
      </c>
      <c r="J98" s="73" t="s">
        <v>151</v>
      </c>
    </row>
    <row r="99" ht="12.75" customHeight="1">
      <c r="C99" s="71"/>
      <c r="D99" s="102"/>
      <c r="E99" s="3">
        <v>34.0</v>
      </c>
      <c r="F99" s="79">
        <v>45773.0</v>
      </c>
      <c r="G99" s="10" t="s">
        <v>148</v>
      </c>
      <c r="H99" s="13">
        <v>3900.0</v>
      </c>
      <c r="I99" s="10" t="s">
        <v>156</v>
      </c>
      <c r="J99" s="73" t="s">
        <v>145</v>
      </c>
    </row>
    <row r="100" ht="12.75" customHeight="1">
      <c r="C100" s="71"/>
      <c r="D100" s="102"/>
      <c r="E100" s="3">
        <v>35.0</v>
      </c>
      <c r="F100" s="79">
        <v>45780.0</v>
      </c>
      <c r="G100" s="10" t="s">
        <v>148</v>
      </c>
      <c r="H100" s="13">
        <v>4000.0</v>
      </c>
      <c r="I100" s="10" t="s">
        <v>156</v>
      </c>
      <c r="J100" s="73" t="s">
        <v>145</v>
      </c>
    </row>
    <row r="101" ht="12.75" customHeight="1">
      <c r="C101" s="71"/>
      <c r="D101" s="102"/>
      <c r="E101" s="3">
        <v>36.0</v>
      </c>
      <c r="F101" s="79">
        <v>45786.0</v>
      </c>
      <c r="G101" s="10" t="s">
        <v>181</v>
      </c>
      <c r="H101" s="13">
        <v>5000.0</v>
      </c>
      <c r="I101" s="10" t="s">
        <v>156</v>
      </c>
      <c r="J101" s="73" t="s">
        <v>182</v>
      </c>
    </row>
    <row r="102" ht="12.75" customHeight="1">
      <c r="C102" s="71"/>
      <c r="D102" s="102"/>
      <c r="E102" s="3">
        <v>37.0</v>
      </c>
      <c r="F102" s="79">
        <v>45787.0</v>
      </c>
      <c r="G102" s="10" t="s">
        <v>148</v>
      </c>
      <c r="H102" s="13">
        <v>4000.0</v>
      </c>
      <c r="I102" s="10" t="s">
        <v>156</v>
      </c>
      <c r="J102" s="73" t="s">
        <v>145</v>
      </c>
    </row>
    <row r="103" ht="12.75" customHeight="1">
      <c r="C103" s="71"/>
      <c r="D103" s="102"/>
      <c r="E103" s="3">
        <v>38.0</v>
      </c>
      <c r="F103" s="79">
        <v>45794.0</v>
      </c>
      <c r="G103" s="10" t="s">
        <v>148</v>
      </c>
      <c r="H103" s="13">
        <v>4000.0</v>
      </c>
      <c r="I103" s="10" t="s">
        <v>156</v>
      </c>
      <c r="J103" s="73" t="s">
        <v>145</v>
      </c>
    </row>
    <row r="104" ht="12.75" customHeight="1">
      <c r="C104" s="71"/>
      <c r="D104" s="102"/>
      <c r="E104" s="3">
        <v>39.0</v>
      </c>
      <c r="F104" s="79">
        <v>45801.0</v>
      </c>
      <c r="G104" s="10" t="s">
        <v>148</v>
      </c>
      <c r="H104" s="13">
        <v>4000.0</v>
      </c>
      <c r="I104" s="10" t="s">
        <v>156</v>
      </c>
      <c r="J104" s="73" t="s">
        <v>145</v>
      </c>
    </row>
    <row r="105" ht="12.75" customHeight="1">
      <c r="C105" s="71"/>
      <c r="D105" s="102"/>
      <c r="E105" s="3">
        <v>40.0</v>
      </c>
      <c r="F105" s="79">
        <v>45808.0</v>
      </c>
      <c r="G105" s="10" t="s">
        <v>148</v>
      </c>
      <c r="H105" s="13">
        <v>3900.0</v>
      </c>
      <c r="I105" s="10" t="s">
        <v>156</v>
      </c>
      <c r="J105" s="73" t="s">
        <v>145</v>
      </c>
    </row>
    <row r="106" ht="12.75" customHeight="1">
      <c r="C106" s="71"/>
      <c r="D106" s="102"/>
      <c r="E106" s="3">
        <v>41.0</v>
      </c>
      <c r="F106" s="79">
        <v>45815.0</v>
      </c>
      <c r="G106" s="10" t="s">
        <v>148</v>
      </c>
      <c r="H106" s="13">
        <v>3900.0</v>
      </c>
      <c r="I106" s="10" t="s">
        <v>156</v>
      </c>
      <c r="J106" s="73" t="s">
        <v>145</v>
      </c>
    </row>
    <row r="107" ht="12.75" customHeight="1">
      <c r="C107" s="71"/>
      <c r="D107" s="102"/>
      <c r="E107" s="3">
        <v>42.0</v>
      </c>
      <c r="F107" s="79">
        <v>45822.0</v>
      </c>
      <c r="G107" s="10" t="s">
        <v>148</v>
      </c>
      <c r="H107" s="13">
        <v>3900.0</v>
      </c>
      <c r="I107" s="10" t="s">
        <v>156</v>
      </c>
      <c r="J107" s="73" t="s">
        <v>145</v>
      </c>
    </row>
    <row r="108" ht="12.75" customHeight="1">
      <c r="C108" s="71"/>
      <c r="D108" s="102"/>
      <c r="E108" s="3">
        <v>43.0</v>
      </c>
      <c r="F108" s="79">
        <v>45829.0</v>
      </c>
      <c r="G108" s="10" t="s">
        <v>148</v>
      </c>
      <c r="H108" s="13">
        <v>2900.0</v>
      </c>
      <c r="I108" s="10" t="s">
        <v>156</v>
      </c>
      <c r="J108" s="73" t="s">
        <v>145</v>
      </c>
    </row>
    <row r="109" ht="12.75" customHeight="1">
      <c r="C109" s="71"/>
      <c r="D109" s="102"/>
      <c r="E109" s="3">
        <v>44.0</v>
      </c>
      <c r="F109" s="79">
        <v>45836.0</v>
      </c>
      <c r="G109" s="10" t="s">
        <v>148</v>
      </c>
      <c r="H109" s="13">
        <v>3900.0</v>
      </c>
      <c r="I109" s="10" t="s">
        <v>156</v>
      </c>
      <c r="J109" s="73" t="s">
        <v>145</v>
      </c>
    </row>
    <row r="110" ht="12.75" customHeight="1">
      <c r="C110" s="71"/>
      <c r="D110" s="102"/>
      <c r="E110" s="3">
        <v>45.0</v>
      </c>
      <c r="F110" s="79">
        <v>45843.0</v>
      </c>
      <c r="G110" s="10" t="s">
        <v>183</v>
      </c>
      <c r="H110" s="13">
        <v>1500.0</v>
      </c>
      <c r="I110" s="10" t="s">
        <v>156</v>
      </c>
      <c r="J110" s="73" t="s">
        <v>145</v>
      </c>
    </row>
    <row r="111" ht="12.75" customHeight="1">
      <c r="C111" s="71"/>
      <c r="D111" s="102"/>
      <c r="E111" s="3">
        <v>46.0</v>
      </c>
      <c r="F111" s="79">
        <v>45857.0</v>
      </c>
      <c r="G111" s="10" t="s">
        <v>148</v>
      </c>
      <c r="H111" s="13">
        <v>3900.0</v>
      </c>
      <c r="I111" s="10" t="s">
        <v>156</v>
      </c>
      <c r="J111" s="73" t="s">
        <v>145</v>
      </c>
    </row>
    <row r="112" ht="12.75" customHeight="1">
      <c r="C112" s="71"/>
      <c r="D112" s="102"/>
      <c r="E112" s="3">
        <v>47.0</v>
      </c>
      <c r="F112" s="79">
        <v>45865.0</v>
      </c>
      <c r="G112" s="10" t="s">
        <v>184</v>
      </c>
      <c r="H112" s="13">
        <v>2000.0</v>
      </c>
      <c r="I112" s="10" t="s">
        <v>156</v>
      </c>
      <c r="J112" s="73" t="s">
        <v>145</v>
      </c>
    </row>
    <row r="113" ht="12.75" customHeight="1">
      <c r="C113" s="71"/>
      <c r="D113" s="102"/>
      <c r="E113" s="3">
        <v>48.0</v>
      </c>
      <c r="F113" s="79">
        <v>45867.0</v>
      </c>
      <c r="G113" s="10" t="s">
        <v>166</v>
      </c>
      <c r="H113" s="13">
        <v>275.0</v>
      </c>
      <c r="I113" s="10" t="s">
        <v>156</v>
      </c>
      <c r="J113" s="73" t="s">
        <v>151</v>
      </c>
    </row>
    <row r="114" ht="12.75" customHeight="1">
      <c r="C114" s="71"/>
      <c r="D114" s="102"/>
      <c r="E114" s="3">
        <v>49.0</v>
      </c>
      <c r="F114" s="79">
        <v>45871.0</v>
      </c>
      <c r="G114" s="10" t="s">
        <v>148</v>
      </c>
      <c r="H114" s="13">
        <v>4000.0</v>
      </c>
      <c r="I114" s="10" t="s">
        <v>156</v>
      </c>
      <c r="J114" s="73" t="s">
        <v>145</v>
      </c>
    </row>
    <row r="115" ht="12.75" customHeight="1">
      <c r="C115" s="71"/>
      <c r="D115" s="102"/>
      <c r="E115" s="3">
        <v>50.0</v>
      </c>
      <c r="F115" s="79">
        <v>45879.0</v>
      </c>
      <c r="G115" s="10" t="s">
        <v>164</v>
      </c>
      <c r="H115" s="13">
        <v>7500.0</v>
      </c>
      <c r="I115" s="10" t="s">
        <v>156</v>
      </c>
      <c r="J115" s="73" t="s">
        <v>145</v>
      </c>
    </row>
    <row r="116" ht="12.75" customHeight="1">
      <c r="C116" s="71"/>
      <c r="D116" s="102"/>
      <c r="E116" s="3">
        <v>51.0</v>
      </c>
      <c r="F116" s="79">
        <v>45886.0</v>
      </c>
      <c r="G116" s="10" t="s">
        <v>164</v>
      </c>
      <c r="H116" s="13">
        <v>7500.0</v>
      </c>
      <c r="I116" s="10" t="s">
        <v>156</v>
      </c>
      <c r="J116" s="73" t="s">
        <v>145</v>
      </c>
    </row>
    <row r="117" ht="12.75" customHeight="1">
      <c r="C117" s="71"/>
      <c r="D117" s="102"/>
      <c r="E117" s="3">
        <v>52.0</v>
      </c>
      <c r="F117" s="79">
        <v>45892.0</v>
      </c>
      <c r="G117" s="10" t="s">
        <v>164</v>
      </c>
      <c r="H117" s="13">
        <v>7500.0</v>
      </c>
      <c r="I117" s="10" t="s">
        <v>156</v>
      </c>
      <c r="J117" s="73" t="s">
        <v>145</v>
      </c>
    </row>
    <row r="118" ht="12.75" customHeight="1">
      <c r="C118" s="71"/>
      <c r="D118" s="102"/>
      <c r="E118" s="3">
        <v>53.0</v>
      </c>
      <c r="F118" s="79">
        <v>45899.0</v>
      </c>
      <c r="G118" s="10" t="s">
        <v>164</v>
      </c>
      <c r="H118" s="13">
        <v>7500.0</v>
      </c>
      <c r="I118" s="10" t="s">
        <v>156</v>
      </c>
      <c r="J118" s="73" t="s">
        <v>145</v>
      </c>
    </row>
    <row r="119" ht="12.75" customHeight="1">
      <c r="C119" s="71"/>
      <c r="D119" s="102"/>
      <c r="E119" s="3">
        <v>54.0</v>
      </c>
      <c r="F119" s="103">
        <v>45904.0</v>
      </c>
      <c r="G119" s="10" t="s">
        <v>185</v>
      </c>
      <c r="H119" s="13">
        <v>7670.0</v>
      </c>
      <c r="I119" s="10" t="s">
        <v>156</v>
      </c>
      <c r="J119" s="72" t="s">
        <v>151</v>
      </c>
    </row>
    <row r="120" ht="12.75" customHeight="1">
      <c r="C120" s="71"/>
      <c r="D120" s="102"/>
      <c r="E120" s="3">
        <v>55.0</v>
      </c>
      <c r="F120" s="103">
        <v>45904.0</v>
      </c>
      <c r="G120" s="10" t="s">
        <v>186</v>
      </c>
      <c r="H120" s="13">
        <v>5500.0</v>
      </c>
      <c r="I120" s="10" t="s">
        <v>156</v>
      </c>
      <c r="J120" s="73" t="s">
        <v>151</v>
      </c>
    </row>
    <row r="121" ht="12.75" customHeight="1">
      <c r="C121" s="71"/>
      <c r="D121" s="102"/>
      <c r="E121" s="3">
        <v>56.0</v>
      </c>
      <c r="F121" s="103">
        <v>45904.0</v>
      </c>
      <c r="G121" s="10" t="s">
        <v>187</v>
      </c>
      <c r="H121" s="13">
        <v>2823.0</v>
      </c>
      <c r="I121" s="10" t="s">
        <v>156</v>
      </c>
      <c r="J121" s="73" t="s">
        <v>151</v>
      </c>
    </row>
    <row r="122" ht="12.75" customHeight="1">
      <c r="C122" s="71"/>
      <c r="D122" s="102"/>
      <c r="E122" s="3">
        <v>57.0</v>
      </c>
      <c r="F122" s="103">
        <v>45906.0</v>
      </c>
      <c r="G122" s="10" t="s">
        <v>164</v>
      </c>
      <c r="H122" s="13">
        <v>7500.0</v>
      </c>
      <c r="I122" s="10" t="s">
        <v>156</v>
      </c>
      <c r="J122" s="73" t="s">
        <v>145</v>
      </c>
    </row>
    <row r="123" ht="12.75" customHeight="1">
      <c r="C123" s="71"/>
      <c r="D123" s="102"/>
      <c r="E123" s="3">
        <v>58.0</v>
      </c>
      <c r="F123" s="103">
        <v>45909.0</v>
      </c>
      <c r="G123" s="10" t="s">
        <v>164</v>
      </c>
      <c r="H123" s="13">
        <v>17500.0</v>
      </c>
      <c r="I123" s="10" t="s">
        <v>156</v>
      </c>
      <c r="J123" s="73" t="s">
        <v>145</v>
      </c>
    </row>
    <row r="124" ht="12.75" customHeight="1">
      <c r="C124" s="71"/>
      <c r="D124" s="102"/>
      <c r="E124" s="3">
        <v>59.0</v>
      </c>
      <c r="F124" s="103">
        <v>45910.0</v>
      </c>
      <c r="G124" s="10" t="s">
        <v>188</v>
      </c>
      <c r="H124" s="13">
        <v>1200.0</v>
      </c>
      <c r="I124" s="10" t="s">
        <v>156</v>
      </c>
      <c r="J124" s="73" t="s">
        <v>151</v>
      </c>
    </row>
    <row r="125" ht="12.75" customHeight="1">
      <c r="C125" s="71"/>
      <c r="D125" s="102"/>
      <c r="E125" s="3">
        <v>60.0</v>
      </c>
      <c r="F125" s="103">
        <v>45911.0</v>
      </c>
      <c r="G125" s="10" t="s">
        <v>164</v>
      </c>
      <c r="H125" s="13">
        <v>9250.0</v>
      </c>
      <c r="I125" s="10" t="s">
        <v>156</v>
      </c>
      <c r="J125" s="73" t="s">
        <v>145</v>
      </c>
    </row>
    <row r="126" ht="12.75" customHeight="1">
      <c r="C126" s="71"/>
      <c r="D126" s="102"/>
      <c r="E126" s="3">
        <v>61.0</v>
      </c>
      <c r="F126" s="103">
        <v>45925.0</v>
      </c>
      <c r="G126" s="10" t="s">
        <v>164</v>
      </c>
      <c r="H126" s="13">
        <v>9250.0</v>
      </c>
      <c r="I126" s="10" t="s">
        <v>156</v>
      </c>
      <c r="J126" s="73" t="s">
        <v>145</v>
      </c>
    </row>
    <row r="127" ht="12.75" customHeight="1">
      <c r="C127" s="71"/>
      <c r="D127" s="102"/>
      <c r="E127" s="3">
        <v>62.0</v>
      </c>
      <c r="F127" s="103">
        <v>45935.0</v>
      </c>
      <c r="G127" s="10" t="s">
        <v>164</v>
      </c>
      <c r="H127" s="13">
        <v>3750.0</v>
      </c>
      <c r="I127" s="10" t="s">
        <v>156</v>
      </c>
      <c r="J127" s="73" t="s">
        <v>145</v>
      </c>
    </row>
    <row r="128" ht="12.75" customHeight="1">
      <c r="C128" s="71"/>
      <c r="D128" s="102"/>
      <c r="E128" s="3">
        <v>63.0</v>
      </c>
      <c r="F128" s="103">
        <v>45937.0</v>
      </c>
      <c r="G128" s="10" t="s">
        <v>189</v>
      </c>
      <c r="H128" s="13">
        <v>4500.0</v>
      </c>
      <c r="I128" s="10" t="s">
        <v>156</v>
      </c>
      <c r="J128" s="73" t="s">
        <v>145</v>
      </c>
    </row>
    <row r="129" ht="12.75" customHeight="1">
      <c r="C129" s="71"/>
      <c r="D129" s="102"/>
      <c r="E129" s="3">
        <v>64.0</v>
      </c>
      <c r="F129" s="103">
        <v>45941.0</v>
      </c>
      <c r="G129" s="11" t="s">
        <v>158</v>
      </c>
      <c r="H129" s="13">
        <v>5000.0</v>
      </c>
      <c r="I129" s="10" t="s">
        <v>156</v>
      </c>
      <c r="J129" s="73" t="s">
        <v>145</v>
      </c>
    </row>
    <row r="130" ht="12.75" customHeight="1">
      <c r="C130" s="71"/>
      <c r="D130" s="102"/>
      <c r="E130" s="3">
        <v>65.0</v>
      </c>
      <c r="F130" s="103">
        <v>45943.0</v>
      </c>
      <c r="G130" s="10" t="s">
        <v>190</v>
      </c>
      <c r="H130" s="13">
        <v>14400.0</v>
      </c>
      <c r="I130" s="10" t="s">
        <v>156</v>
      </c>
      <c r="J130" s="73" t="s">
        <v>151</v>
      </c>
    </row>
    <row r="131" ht="12.75" customHeight="1">
      <c r="C131" s="71"/>
      <c r="D131" s="102"/>
      <c r="E131" s="3">
        <v>66.0</v>
      </c>
      <c r="F131" s="103">
        <v>45943.0</v>
      </c>
      <c r="G131" s="10" t="s">
        <v>191</v>
      </c>
      <c r="H131" s="13">
        <v>16200.0</v>
      </c>
      <c r="I131" s="10" t="s">
        <v>156</v>
      </c>
      <c r="J131" s="73" t="s">
        <v>151</v>
      </c>
    </row>
    <row r="132" ht="12.75" customHeight="1">
      <c r="C132" s="71"/>
      <c r="D132" s="102"/>
      <c r="E132" s="3">
        <v>67.0</v>
      </c>
      <c r="F132" s="103">
        <v>45943.0</v>
      </c>
      <c r="G132" s="10" t="s">
        <v>192</v>
      </c>
      <c r="H132" s="13">
        <v>5400.0</v>
      </c>
      <c r="I132" s="10" t="s">
        <v>156</v>
      </c>
      <c r="J132" s="73" t="s">
        <v>151</v>
      </c>
    </row>
    <row r="133" ht="12.75" customHeight="1">
      <c r="C133" s="71"/>
      <c r="D133" s="102"/>
      <c r="E133" s="3">
        <v>68.0</v>
      </c>
      <c r="F133" s="103">
        <v>45943.0</v>
      </c>
      <c r="G133" s="10" t="s">
        <v>193</v>
      </c>
      <c r="H133" s="13">
        <v>100.0</v>
      </c>
      <c r="I133" s="10" t="s">
        <v>156</v>
      </c>
      <c r="J133" s="73" t="s">
        <v>151</v>
      </c>
    </row>
    <row r="134" ht="12.75" customHeight="1">
      <c r="C134" s="71"/>
      <c r="D134" s="102"/>
      <c r="E134" s="3">
        <v>69.0</v>
      </c>
      <c r="F134" s="103">
        <v>45949.0</v>
      </c>
      <c r="G134" s="10" t="s">
        <v>148</v>
      </c>
      <c r="H134" s="13">
        <v>3800.0</v>
      </c>
      <c r="I134" s="10" t="s">
        <v>156</v>
      </c>
      <c r="J134" s="73" t="s">
        <v>145</v>
      </c>
    </row>
    <row r="135" ht="12.75" customHeight="1">
      <c r="C135" s="71"/>
      <c r="D135" s="102"/>
      <c r="E135" s="3">
        <v>70.0</v>
      </c>
      <c r="F135" s="103">
        <v>45949.0</v>
      </c>
      <c r="G135" s="10" t="s">
        <v>194</v>
      </c>
      <c r="H135" s="13">
        <v>400.0</v>
      </c>
      <c r="I135" s="10" t="s">
        <v>156</v>
      </c>
      <c r="J135" s="73" t="s">
        <v>147</v>
      </c>
    </row>
    <row r="136" ht="12.75" customHeight="1">
      <c r="C136" s="71"/>
      <c r="D136" s="102"/>
      <c r="E136" s="3">
        <v>71.0</v>
      </c>
      <c r="F136" s="103">
        <v>45952.0</v>
      </c>
      <c r="G136" s="10" t="s">
        <v>195</v>
      </c>
      <c r="H136" s="13">
        <v>6900.0</v>
      </c>
      <c r="I136" s="10" t="s">
        <v>156</v>
      </c>
      <c r="J136" s="73" t="s">
        <v>145</v>
      </c>
    </row>
    <row r="137" ht="12.75" customHeight="1">
      <c r="C137" s="71"/>
      <c r="D137" s="102"/>
      <c r="E137" s="3">
        <v>72.0</v>
      </c>
      <c r="F137" s="103">
        <v>45954.0</v>
      </c>
      <c r="G137" s="10" t="s">
        <v>196</v>
      </c>
      <c r="H137" s="13">
        <v>3300.0</v>
      </c>
      <c r="I137" s="10" t="s">
        <v>156</v>
      </c>
      <c r="J137" s="73" t="s">
        <v>151</v>
      </c>
    </row>
    <row r="138" ht="12.75" customHeight="1">
      <c r="C138" s="71"/>
      <c r="D138" s="102"/>
      <c r="E138" s="3">
        <v>73.0</v>
      </c>
      <c r="F138" s="103">
        <v>45963.0</v>
      </c>
      <c r="G138" s="10" t="s">
        <v>164</v>
      </c>
      <c r="H138" s="13">
        <v>7500.0</v>
      </c>
      <c r="I138" s="10" t="s">
        <v>156</v>
      </c>
      <c r="J138" s="73" t="s">
        <v>145</v>
      </c>
    </row>
    <row r="139" ht="12.75" customHeight="1">
      <c r="C139" s="71"/>
      <c r="D139" s="102"/>
      <c r="E139" s="3">
        <v>74.0</v>
      </c>
      <c r="F139" s="103">
        <v>45963.0</v>
      </c>
      <c r="G139" s="10" t="s">
        <v>197</v>
      </c>
      <c r="H139" s="13">
        <v>700.0</v>
      </c>
      <c r="I139" s="10" t="s">
        <v>156</v>
      </c>
      <c r="J139" s="73" t="s">
        <v>151</v>
      </c>
    </row>
    <row r="140" ht="12.75" customHeight="1">
      <c r="C140" s="71"/>
      <c r="D140" s="102"/>
      <c r="E140" s="3">
        <v>75.0</v>
      </c>
      <c r="F140" s="103">
        <v>45966.0</v>
      </c>
      <c r="G140" s="10" t="s">
        <v>170</v>
      </c>
      <c r="H140" s="13">
        <v>6200.0</v>
      </c>
      <c r="I140" s="10" t="s">
        <v>156</v>
      </c>
      <c r="J140" s="73" t="s">
        <v>145</v>
      </c>
    </row>
    <row r="141" ht="12.75" customHeight="1">
      <c r="C141" s="71"/>
      <c r="D141" s="102"/>
      <c r="E141" s="3">
        <v>76.0</v>
      </c>
      <c r="F141" s="103">
        <v>45983.0</v>
      </c>
      <c r="G141" s="10" t="s">
        <v>148</v>
      </c>
      <c r="H141" s="13">
        <v>1950.0</v>
      </c>
      <c r="I141" s="10" t="s">
        <v>156</v>
      </c>
      <c r="J141" s="73" t="s">
        <v>145</v>
      </c>
    </row>
    <row r="142" ht="12.75" customHeight="1">
      <c r="C142" s="71"/>
      <c r="D142" s="102"/>
      <c r="E142" s="3">
        <v>77.0</v>
      </c>
      <c r="F142" s="103">
        <v>45997.0</v>
      </c>
      <c r="G142" s="10" t="s">
        <v>148</v>
      </c>
      <c r="H142" s="13">
        <v>3900.0</v>
      </c>
      <c r="I142" s="10" t="s">
        <v>156</v>
      </c>
      <c r="J142" s="73" t="s">
        <v>145</v>
      </c>
    </row>
    <row r="143" ht="12.75" customHeight="1">
      <c r="C143" s="71"/>
      <c r="D143" s="102"/>
      <c r="E143" s="3">
        <v>78.0</v>
      </c>
      <c r="F143" s="103">
        <v>46004.0</v>
      </c>
      <c r="G143" s="10" t="s">
        <v>148</v>
      </c>
      <c r="H143" s="13">
        <v>3900.0</v>
      </c>
      <c r="I143" s="10" t="s">
        <v>156</v>
      </c>
      <c r="J143" s="73" t="s">
        <v>145</v>
      </c>
    </row>
    <row r="144" ht="12.75" customHeight="1">
      <c r="C144" s="71"/>
      <c r="D144" s="102"/>
      <c r="E144" s="3">
        <v>79.0</v>
      </c>
      <c r="F144" s="103">
        <v>46016.0</v>
      </c>
      <c r="G144" s="10" t="s">
        <v>164</v>
      </c>
      <c r="H144" s="13">
        <v>7500.0</v>
      </c>
      <c r="I144" s="10" t="s">
        <v>156</v>
      </c>
      <c r="J144" s="73" t="s">
        <v>145</v>
      </c>
    </row>
    <row r="145" ht="12.75" customHeight="1">
      <c r="C145" s="71"/>
      <c r="D145" s="102"/>
      <c r="E145" s="3">
        <v>80.0</v>
      </c>
      <c r="F145" s="103">
        <v>46018.0</v>
      </c>
      <c r="G145" s="10" t="s">
        <v>148</v>
      </c>
      <c r="H145" s="13">
        <v>1600.0</v>
      </c>
      <c r="I145" s="10" t="s">
        <v>156</v>
      </c>
      <c r="J145" s="73" t="s">
        <v>145</v>
      </c>
    </row>
    <row r="146" ht="12.75" customHeight="1">
      <c r="C146" s="71"/>
      <c r="D146" s="102"/>
      <c r="E146" s="3">
        <v>81.0</v>
      </c>
      <c r="F146" s="103"/>
      <c r="G146" s="10"/>
      <c r="H146" s="13"/>
      <c r="I146" s="10" t="s">
        <v>156</v>
      </c>
    </row>
    <row r="147" ht="12.75" customHeight="1">
      <c r="C147" s="71"/>
      <c r="D147" s="102"/>
      <c r="E147" s="3">
        <v>82.0</v>
      </c>
      <c r="F147" s="103"/>
      <c r="G147" s="10"/>
      <c r="H147" s="13"/>
      <c r="I147" s="10" t="s">
        <v>156</v>
      </c>
    </row>
    <row r="148" ht="12.75" customHeight="1">
      <c r="C148" s="71"/>
      <c r="D148" s="102"/>
      <c r="E148" s="3">
        <v>83.0</v>
      </c>
      <c r="F148" s="103"/>
      <c r="G148" s="10"/>
      <c r="H148" s="13"/>
      <c r="I148" s="10" t="s">
        <v>156</v>
      </c>
    </row>
    <row r="149" ht="12.75" customHeight="1">
      <c r="C149" s="71"/>
      <c r="D149" s="102"/>
      <c r="E149" s="3">
        <v>84.0</v>
      </c>
      <c r="F149" s="103"/>
      <c r="G149" s="10"/>
      <c r="H149" s="13"/>
      <c r="I149" s="10" t="s">
        <v>156</v>
      </c>
    </row>
    <row r="150" ht="12.75" customHeight="1">
      <c r="C150" s="71"/>
      <c r="D150" s="102"/>
      <c r="E150" s="3">
        <v>85.0</v>
      </c>
      <c r="F150" s="103"/>
      <c r="G150" s="10"/>
      <c r="H150" s="13"/>
      <c r="I150" s="10" t="s">
        <v>156</v>
      </c>
    </row>
    <row r="151" ht="12.75" customHeight="1">
      <c r="C151" s="71"/>
      <c r="D151" s="102"/>
      <c r="E151" s="3">
        <v>86.0</v>
      </c>
      <c r="F151" s="103"/>
      <c r="G151" s="10"/>
      <c r="H151" s="13"/>
      <c r="I151" s="10" t="s">
        <v>156</v>
      </c>
    </row>
    <row r="152" ht="12.75" customHeight="1">
      <c r="C152" s="71"/>
      <c r="D152" s="102"/>
      <c r="E152" s="3">
        <v>87.0</v>
      </c>
      <c r="F152" s="103"/>
      <c r="G152" s="10"/>
      <c r="H152" s="13"/>
      <c r="I152" s="10" t="s">
        <v>156</v>
      </c>
    </row>
    <row r="153" ht="12.75" customHeight="1">
      <c r="C153" s="71"/>
      <c r="D153" s="102"/>
      <c r="E153" s="3">
        <v>88.0</v>
      </c>
      <c r="F153" s="103"/>
      <c r="G153" s="10"/>
      <c r="H153" s="13"/>
      <c r="I153" s="10" t="s">
        <v>156</v>
      </c>
    </row>
    <row r="154" ht="12.75" customHeight="1">
      <c r="C154" s="71"/>
      <c r="D154" s="102"/>
      <c r="E154" s="3">
        <v>89.0</v>
      </c>
      <c r="F154" s="103"/>
      <c r="G154" s="10"/>
      <c r="H154" s="13"/>
      <c r="I154" s="10" t="s">
        <v>156</v>
      </c>
    </row>
    <row r="155" ht="12.75" customHeight="1">
      <c r="C155" s="71"/>
      <c r="D155" s="102"/>
      <c r="E155" s="3">
        <v>90.0</v>
      </c>
      <c r="F155" s="103"/>
      <c r="G155" s="10"/>
      <c r="H155" s="13"/>
      <c r="I155" s="10" t="s">
        <v>156</v>
      </c>
    </row>
    <row r="156" ht="12.75" customHeight="1">
      <c r="C156" s="71"/>
      <c r="D156" s="102"/>
      <c r="E156" s="3">
        <v>91.0</v>
      </c>
      <c r="F156" s="103"/>
      <c r="G156" s="10"/>
      <c r="H156" s="13"/>
      <c r="I156" s="10" t="s">
        <v>156</v>
      </c>
    </row>
    <row r="157" ht="12.75" customHeight="1">
      <c r="C157" s="71"/>
      <c r="D157" s="102"/>
      <c r="E157" s="3">
        <v>92.0</v>
      </c>
      <c r="F157" s="103"/>
      <c r="G157" s="10"/>
      <c r="H157" s="13"/>
      <c r="I157" s="10" t="s">
        <v>156</v>
      </c>
    </row>
    <row r="158" ht="12.75" customHeight="1">
      <c r="C158" s="71"/>
      <c r="D158" s="102"/>
      <c r="E158" s="3">
        <v>93.0</v>
      </c>
      <c r="F158" s="103"/>
      <c r="G158" s="10"/>
      <c r="H158" s="13"/>
      <c r="I158" s="10" t="s">
        <v>156</v>
      </c>
    </row>
    <row r="159" ht="12.75" customHeight="1">
      <c r="C159" s="71"/>
      <c r="D159" s="102"/>
      <c r="E159" s="3">
        <v>94.0</v>
      </c>
      <c r="F159" s="103"/>
      <c r="G159" s="10"/>
      <c r="H159" s="13"/>
      <c r="I159" s="10" t="s">
        <v>156</v>
      </c>
    </row>
    <row r="160" ht="12.75" customHeight="1">
      <c r="C160" s="71"/>
      <c r="D160" s="102"/>
      <c r="E160" s="3">
        <v>95.0</v>
      </c>
      <c r="F160" s="103"/>
      <c r="G160" s="10"/>
      <c r="H160" s="13"/>
      <c r="I160" s="10" t="s">
        <v>156</v>
      </c>
    </row>
    <row r="161" ht="12.75" customHeight="1">
      <c r="C161" s="71"/>
      <c r="D161" s="102"/>
      <c r="E161" s="3">
        <v>96.0</v>
      </c>
      <c r="F161" s="103"/>
      <c r="G161" s="10"/>
      <c r="H161" s="13"/>
      <c r="I161" s="10" t="s">
        <v>156</v>
      </c>
    </row>
    <row r="162" ht="12.75" customHeight="1">
      <c r="C162" s="71"/>
      <c r="D162" s="102"/>
      <c r="E162" s="3">
        <v>97.0</v>
      </c>
      <c r="F162" s="103"/>
      <c r="G162" s="10"/>
      <c r="H162" s="13"/>
      <c r="I162" s="10" t="s">
        <v>156</v>
      </c>
    </row>
    <row r="163" ht="12.75" customHeight="1">
      <c r="C163" s="71"/>
      <c r="D163" s="102"/>
      <c r="E163" s="3">
        <v>98.0</v>
      </c>
      <c r="F163" s="103"/>
      <c r="G163" s="10"/>
      <c r="H163" s="13"/>
      <c r="I163" s="10" t="s">
        <v>156</v>
      </c>
    </row>
    <row r="164" ht="12.75" customHeight="1">
      <c r="C164" s="71"/>
      <c r="D164" s="102"/>
      <c r="E164" s="3">
        <v>99.0</v>
      </c>
      <c r="F164" s="103"/>
      <c r="G164" s="10"/>
      <c r="H164" s="13"/>
      <c r="I164" s="10" t="s">
        <v>156</v>
      </c>
    </row>
    <row r="165" ht="12.75" customHeight="1">
      <c r="C165" s="71"/>
      <c r="D165" s="102"/>
      <c r="E165" s="3">
        <v>100.0</v>
      </c>
      <c r="F165" s="103"/>
      <c r="G165" s="10"/>
      <c r="H165" s="13"/>
      <c r="I165" s="10" t="s">
        <v>156</v>
      </c>
    </row>
    <row r="166" ht="12.75" customHeight="1">
      <c r="C166" s="71"/>
      <c r="D166" s="102"/>
      <c r="E166" s="3">
        <v>101.0</v>
      </c>
      <c r="F166" s="103"/>
      <c r="G166" s="10"/>
      <c r="H166" s="13"/>
      <c r="I166" s="10" t="s">
        <v>156</v>
      </c>
    </row>
    <row r="167" ht="12.75" customHeight="1">
      <c r="C167" s="71"/>
      <c r="D167" s="102"/>
      <c r="E167" s="3">
        <v>102.0</v>
      </c>
      <c r="F167" s="103"/>
      <c r="G167" s="10"/>
      <c r="H167" s="13"/>
      <c r="I167" s="10" t="s">
        <v>156</v>
      </c>
    </row>
    <row r="168" ht="12.75" customHeight="1">
      <c r="C168" s="71"/>
      <c r="D168" s="102"/>
      <c r="E168" s="3">
        <v>103.0</v>
      </c>
      <c r="F168" s="103"/>
      <c r="G168" s="10"/>
      <c r="H168" s="13"/>
      <c r="I168" s="10" t="s">
        <v>156</v>
      </c>
    </row>
    <row r="169" ht="12.75" customHeight="1">
      <c r="C169" s="71"/>
      <c r="D169" s="102"/>
      <c r="E169" s="3">
        <v>104.0</v>
      </c>
      <c r="F169" s="103"/>
      <c r="G169" s="10"/>
      <c r="H169" s="13"/>
      <c r="I169" s="10" t="s">
        <v>156</v>
      </c>
    </row>
    <row r="170" ht="12.75" customHeight="1">
      <c r="C170" s="71"/>
      <c r="D170" s="102"/>
      <c r="E170" s="3">
        <v>105.0</v>
      </c>
      <c r="F170" s="103"/>
      <c r="G170" s="10"/>
      <c r="H170" s="13"/>
      <c r="I170" s="10" t="s">
        <v>156</v>
      </c>
    </row>
    <row r="171" ht="12.75" customHeight="1">
      <c r="C171" s="71"/>
      <c r="D171" s="102"/>
      <c r="E171" s="3">
        <v>106.0</v>
      </c>
      <c r="F171" s="103"/>
      <c r="G171" s="10"/>
      <c r="H171" s="13"/>
      <c r="I171" s="10" t="s">
        <v>156</v>
      </c>
    </row>
    <row r="172" ht="12.75" customHeight="1">
      <c r="C172" s="71"/>
      <c r="D172" s="102"/>
      <c r="E172" s="3">
        <v>107.0</v>
      </c>
      <c r="F172" s="103"/>
      <c r="G172" s="10"/>
      <c r="H172" s="13"/>
      <c r="I172" s="10" t="s">
        <v>156</v>
      </c>
    </row>
    <row r="173" ht="12.75" customHeight="1">
      <c r="C173" s="71"/>
      <c r="D173" s="102"/>
      <c r="E173" s="3">
        <v>108.0</v>
      </c>
      <c r="F173" s="103"/>
      <c r="G173" s="10"/>
      <c r="H173" s="13"/>
      <c r="I173" s="10" t="s">
        <v>156</v>
      </c>
    </row>
    <row r="174" ht="12.75" customHeight="1">
      <c r="C174" s="71"/>
      <c r="D174" s="102"/>
      <c r="E174" s="3">
        <v>109.0</v>
      </c>
      <c r="F174" s="103"/>
      <c r="G174" s="10"/>
      <c r="H174" s="13"/>
      <c r="I174" s="10" t="s">
        <v>156</v>
      </c>
    </row>
    <row r="175" ht="12.75" customHeight="1">
      <c r="C175" s="71"/>
      <c r="D175" s="102"/>
      <c r="E175" s="3">
        <v>110.0</v>
      </c>
      <c r="F175" s="103"/>
      <c r="G175" s="10"/>
      <c r="H175" s="13"/>
      <c r="I175" s="10" t="s">
        <v>156</v>
      </c>
    </row>
    <row r="176" ht="12.75" customHeight="1">
      <c r="C176" s="71"/>
      <c r="D176" s="102"/>
      <c r="E176" s="3">
        <v>111.0</v>
      </c>
      <c r="F176" s="103"/>
      <c r="G176" s="10"/>
      <c r="H176" s="13"/>
      <c r="I176" s="10" t="s">
        <v>156</v>
      </c>
    </row>
    <row r="177" ht="12.75" customHeight="1">
      <c r="C177" s="71"/>
      <c r="D177" s="102"/>
      <c r="E177" s="3">
        <v>112.0</v>
      </c>
      <c r="F177" s="103"/>
      <c r="G177" s="10"/>
      <c r="H177" s="13"/>
      <c r="I177" s="10" t="s">
        <v>156</v>
      </c>
    </row>
    <row r="178" ht="12.75" customHeight="1">
      <c r="C178" s="71"/>
      <c r="D178" s="102"/>
      <c r="E178" s="3">
        <v>113.0</v>
      </c>
      <c r="F178" s="103"/>
      <c r="G178" s="10"/>
      <c r="H178" s="13"/>
      <c r="I178" s="10" t="s">
        <v>156</v>
      </c>
    </row>
    <row r="179" ht="12.75" customHeight="1">
      <c r="C179" s="71"/>
      <c r="D179" s="102"/>
      <c r="E179" s="3">
        <v>114.0</v>
      </c>
      <c r="F179" s="103"/>
      <c r="G179" s="10"/>
      <c r="H179" s="13"/>
      <c r="I179" s="10" t="s">
        <v>156</v>
      </c>
    </row>
    <row r="180" ht="12.75" customHeight="1">
      <c r="C180" s="71"/>
      <c r="D180" s="102"/>
      <c r="E180" s="3">
        <v>115.0</v>
      </c>
      <c r="F180" s="103"/>
      <c r="G180" s="10"/>
      <c r="H180" s="13"/>
      <c r="I180" s="10" t="s">
        <v>156</v>
      </c>
    </row>
    <row r="181" ht="12.75" customHeight="1">
      <c r="C181" s="71"/>
      <c r="D181" s="102"/>
      <c r="E181" s="3">
        <v>116.0</v>
      </c>
      <c r="F181" s="103"/>
      <c r="G181" s="10"/>
      <c r="H181" s="13"/>
      <c r="I181" s="10" t="s">
        <v>156</v>
      </c>
    </row>
    <row r="182" ht="12.75" customHeight="1">
      <c r="C182" s="71"/>
      <c r="D182" s="102"/>
      <c r="E182" s="3">
        <v>117.0</v>
      </c>
      <c r="F182" s="103"/>
      <c r="G182" s="10"/>
      <c r="H182" s="13"/>
      <c r="I182" s="10" t="s">
        <v>156</v>
      </c>
    </row>
    <row r="183" ht="12.75" customHeight="1">
      <c r="C183" s="71"/>
      <c r="D183" s="102"/>
      <c r="E183" s="3">
        <v>118.0</v>
      </c>
      <c r="F183" s="103"/>
      <c r="G183" s="10"/>
      <c r="H183" s="13"/>
      <c r="I183" s="10" t="s">
        <v>156</v>
      </c>
    </row>
    <row r="184" ht="12.75" customHeight="1">
      <c r="C184" s="71"/>
      <c r="D184" s="102"/>
      <c r="E184" s="3">
        <v>119.0</v>
      </c>
      <c r="F184" s="103"/>
      <c r="G184" s="10"/>
      <c r="H184" s="13"/>
      <c r="I184" s="10" t="s">
        <v>156</v>
      </c>
    </row>
    <row r="185" ht="12.75" customHeight="1">
      <c r="C185" s="71"/>
      <c r="D185" s="102"/>
      <c r="E185" s="3">
        <v>120.0</v>
      </c>
      <c r="F185" s="103"/>
      <c r="G185" s="10"/>
      <c r="H185" s="13"/>
      <c r="I185" s="10" t="s">
        <v>156</v>
      </c>
    </row>
    <row r="186" ht="12.75" customHeight="1">
      <c r="C186" s="71"/>
      <c r="D186" s="102"/>
      <c r="E186" s="3">
        <v>121.0</v>
      </c>
      <c r="F186" s="103"/>
      <c r="G186" s="10"/>
      <c r="H186" s="13"/>
      <c r="I186" s="10" t="s">
        <v>156</v>
      </c>
    </row>
    <row r="187" ht="12.75" customHeight="1">
      <c r="C187" s="71"/>
      <c r="D187" s="102"/>
      <c r="E187" s="3">
        <v>122.0</v>
      </c>
      <c r="F187" s="103"/>
      <c r="G187" s="10"/>
      <c r="H187" s="13"/>
      <c r="I187" s="10" t="s">
        <v>156</v>
      </c>
    </row>
    <row r="188" ht="12.75" customHeight="1">
      <c r="C188" s="71"/>
      <c r="D188" s="102"/>
      <c r="E188" s="3">
        <v>123.0</v>
      </c>
      <c r="F188" s="103"/>
      <c r="G188" s="10"/>
      <c r="H188" s="13"/>
      <c r="I188" s="10" t="s">
        <v>156</v>
      </c>
    </row>
    <row r="189" ht="12.75" customHeight="1">
      <c r="C189" s="71"/>
      <c r="D189" s="102"/>
      <c r="E189" s="3">
        <v>124.0</v>
      </c>
      <c r="F189" s="103"/>
      <c r="G189" s="10"/>
      <c r="H189" s="13"/>
      <c r="I189" s="10" t="s">
        <v>156</v>
      </c>
    </row>
    <row r="190" ht="12.75" customHeight="1">
      <c r="C190" s="71"/>
      <c r="D190" s="102"/>
      <c r="E190" s="3">
        <v>125.0</v>
      </c>
      <c r="F190" s="103"/>
      <c r="G190" s="10"/>
      <c r="H190" s="13"/>
      <c r="I190" s="10" t="s">
        <v>156</v>
      </c>
    </row>
    <row r="191" ht="12.75" customHeight="1">
      <c r="C191" s="71"/>
      <c r="D191" s="102"/>
      <c r="E191" s="3">
        <v>126.0</v>
      </c>
      <c r="F191" s="103"/>
      <c r="G191" s="10"/>
      <c r="H191" s="13"/>
      <c r="I191" s="10" t="s">
        <v>156</v>
      </c>
    </row>
    <row r="192" ht="12.75" customHeight="1">
      <c r="C192" s="71"/>
      <c r="D192" s="102"/>
      <c r="E192" s="3">
        <v>127.0</v>
      </c>
      <c r="F192" s="103"/>
      <c r="G192" s="10"/>
      <c r="H192" s="13"/>
      <c r="I192" s="10" t="s">
        <v>156</v>
      </c>
    </row>
    <row r="193" ht="12.75" customHeight="1">
      <c r="C193" s="71"/>
      <c r="D193" s="102"/>
      <c r="E193" s="3">
        <v>128.0</v>
      </c>
      <c r="F193" s="103"/>
      <c r="G193" s="10"/>
      <c r="H193" s="13"/>
      <c r="I193" s="10" t="s">
        <v>156</v>
      </c>
    </row>
    <row r="194" ht="12.75" customHeight="1">
      <c r="C194" s="71"/>
      <c r="D194" s="102"/>
      <c r="E194" s="3">
        <v>129.0</v>
      </c>
      <c r="F194" s="103"/>
      <c r="G194" s="10"/>
      <c r="H194" s="13"/>
      <c r="I194" s="10" t="s">
        <v>156</v>
      </c>
    </row>
    <row r="195" ht="12.75" customHeight="1">
      <c r="C195" s="71"/>
      <c r="D195" s="102"/>
      <c r="E195" s="3">
        <v>130.0</v>
      </c>
      <c r="F195" s="103"/>
      <c r="G195" s="10"/>
      <c r="H195" s="13"/>
      <c r="I195" s="10" t="s">
        <v>156</v>
      </c>
    </row>
    <row r="196" ht="12.75" customHeight="1">
      <c r="C196" s="71"/>
      <c r="D196" s="102"/>
      <c r="E196" s="3">
        <v>131.0</v>
      </c>
      <c r="F196" s="103"/>
      <c r="G196" s="10"/>
      <c r="H196" s="13"/>
      <c r="I196" s="10" t="s">
        <v>156</v>
      </c>
    </row>
    <row r="197" ht="12.75" customHeight="1">
      <c r="C197" s="71"/>
      <c r="D197" s="102"/>
      <c r="E197" s="3">
        <v>132.0</v>
      </c>
      <c r="F197" s="103"/>
      <c r="G197" s="10"/>
      <c r="H197" s="13"/>
      <c r="I197" s="10" t="s">
        <v>156</v>
      </c>
    </row>
    <row r="198" ht="12.75" customHeight="1">
      <c r="C198" s="71"/>
      <c r="D198" s="102"/>
      <c r="E198" s="3">
        <v>133.0</v>
      </c>
      <c r="F198" s="103"/>
      <c r="G198" s="10"/>
      <c r="H198" s="13"/>
      <c r="I198" s="10" t="s">
        <v>156</v>
      </c>
    </row>
    <row r="199" ht="12.75" customHeight="1">
      <c r="C199" s="71"/>
      <c r="D199" s="102"/>
      <c r="E199" s="3">
        <v>134.0</v>
      </c>
      <c r="F199" s="103"/>
      <c r="G199" s="10"/>
      <c r="H199" s="13"/>
      <c r="I199" s="10" t="s">
        <v>156</v>
      </c>
    </row>
    <row r="200" ht="12.75" customHeight="1">
      <c r="C200" s="71"/>
      <c r="D200" s="102"/>
      <c r="E200" s="3">
        <v>135.0</v>
      </c>
      <c r="F200" s="103"/>
      <c r="G200" s="10"/>
      <c r="H200" s="13"/>
      <c r="I200" s="10" t="s">
        <v>156</v>
      </c>
    </row>
    <row r="201" ht="12.75" customHeight="1">
      <c r="C201" s="71"/>
      <c r="D201" s="102"/>
      <c r="E201" s="3">
        <v>136.0</v>
      </c>
      <c r="F201" s="103"/>
      <c r="G201" s="10"/>
      <c r="H201" s="13"/>
      <c r="I201" s="10" t="s">
        <v>156</v>
      </c>
    </row>
    <row r="202" ht="12.75" customHeight="1">
      <c r="C202" s="71"/>
      <c r="D202" s="102"/>
      <c r="E202" s="3">
        <v>137.0</v>
      </c>
      <c r="F202" s="103"/>
      <c r="G202" s="10"/>
      <c r="H202" s="13"/>
      <c r="I202" s="10" t="s">
        <v>156</v>
      </c>
    </row>
    <row r="203" ht="12.75" customHeight="1">
      <c r="C203" s="71"/>
      <c r="D203" s="102"/>
      <c r="E203" s="3">
        <v>138.0</v>
      </c>
      <c r="F203" s="103"/>
      <c r="G203" s="10"/>
      <c r="H203" s="13"/>
      <c r="I203" s="10" t="s">
        <v>156</v>
      </c>
    </row>
    <row r="204" ht="12.75" customHeight="1">
      <c r="C204" s="71"/>
      <c r="D204" s="102"/>
      <c r="E204" s="3">
        <v>139.0</v>
      </c>
      <c r="F204" s="103"/>
      <c r="G204" s="10"/>
      <c r="H204" s="13"/>
      <c r="I204" s="10" t="s">
        <v>156</v>
      </c>
    </row>
    <row r="205" ht="12.75" customHeight="1">
      <c r="C205" s="71"/>
      <c r="D205" s="102"/>
      <c r="E205" s="3">
        <v>140.0</v>
      </c>
      <c r="F205" s="103"/>
      <c r="G205" s="10"/>
      <c r="H205" s="13"/>
      <c r="I205" s="10" t="s">
        <v>156</v>
      </c>
    </row>
    <row r="206" ht="12.75" customHeight="1">
      <c r="C206" s="71"/>
      <c r="D206" s="102"/>
      <c r="E206" s="3">
        <v>141.0</v>
      </c>
      <c r="F206" s="103"/>
      <c r="G206" s="10"/>
      <c r="H206" s="13"/>
      <c r="I206" s="10" t="s">
        <v>156</v>
      </c>
    </row>
    <row r="207" ht="12.75" customHeight="1">
      <c r="C207" s="71"/>
      <c r="D207" s="102"/>
      <c r="E207" s="3">
        <v>142.0</v>
      </c>
      <c r="F207" s="103"/>
      <c r="G207" s="10"/>
      <c r="H207" s="13"/>
      <c r="I207" s="10" t="s">
        <v>156</v>
      </c>
    </row>
    <row r="208" ht="12.75" customHeight="1">
      <c r="C208" s="71"/>
      <c r="D208" s="102"/>
      <c r="E208" s="3">
        <v>143.0</v>
      </c>
      <c r="F208" s="103"/>
      <c r="G208" s="10"/>
      <c r="H208" s="13"/>
      <c r="I208" s="10" t="s">
        <v>156</v>
      </c>
    </row>
    <row r="209" ht="12.75" customHeight="1">
      <c r="C209" s="71"/>
      <c r="D209" s="102"/>
      <c r="E209" s="3">
        <v>144.0</v>
      </c>
      <c r="F209" s="103"/>
      <c r="G209" s="10"/>
      <c r="H209" s="13"/>
      <c r="I209" s="10" t="s">
        <v>156</v>
      </c>
    </row>
    <row r="210" ht="12.75" customHeight="1">
      <c r="C210" s="71"/>
      <c r="D210" s="102"/>
      <c r="E210" s="3">
        <v>145.0</v>
      </c>
      <c r="F210" s="103"/>
      <c r="G210" s="10"/>
      <c r="H210" s="13"/>
      <c r="I210" s="10" t="s">
        <v>156</v>
      </c>
    </row>
    <row r="211" ht="12.75" customHeight="1">
      <c r="C211" s="71"/>
      <c r="D211" s="102"/>
      <c r="E211" s="3">
        <v>146.0</v>
      </c>
      <c r="F211" s="103"/>
      <c r="G211" s="10"/>
      <c r="H211" s="13"/>
      <c r="I211" s="10" t="s">
        <v>156</v>
      </c>
    </row>
    <row r="212" ht="12.75" customHeight="1">
      <c r="C212" s="71"/>
      <c r="D212" s="102"/>
      <c r="E212" s="3">
        <v>147.0</v>
      </c>
      <c r="F212" s="103"/>
      <c r="G212" s="10"/>
      <c r="H212" s="13"/>
      <c r="I212" s="10" t="s">
        <v>156</v>
      </c>
    </row>
    <row r="213" ht="12.75" customHeight="1">
      <c r="C213" s="71"/>
      <c r="D213" s="102"/>
      <c r="E213" s="3">
        <v>148.0</v>
      </c>
      <c r="F213" s="103"/>
      <c r="G213" s="10"/>
      <c r="H213" s="13"/>
      <c r="I213" s="10" t="s">
        <v>156</v>
      </c>
    </row>
    <row r="214" ht="12.75" customHeight="1">
      <c r="C214" s="71"/>
      <c r="D214" s="102"/>
      <c r="E214" s="3">
        <v>149.0</v>
      </c>
      <c r="F214" s="103"/>
      <c r="G214" s="10"/>
      <c r="H214" s="13"/>
      <c r="I214" s="10" t="s">
        <v>156</v>
      </c>
    </row>
    <row r="215" ht="12.75" customHeight="1">
      <c r="C215" s="71"/>
      <c r="D215" s="102"/>
      <c r="E215" s="3">
        <v>150.0</v>
      </c>
      <c r="F215" s="103"/>
      <c r="G215" s="10"/>
      <c r="H215" s="13"/>
      <c r="I215" s="10" t="s">
        <v>156</v>
      </c>
    </row>
    <row r="216" ht="12.75" customHeight="1">
      <c r="C216" s="71"/>
      <c r="D216" s="102"/>
      <c r="E216" s="3">
        <v>151.0</v>
      </c>
      <c r="F216" s="103"/>
      <c r="G216" s="10"/>
      <c r="H216" s="13"/>
      <c r="I216" s="10" t="s">
        <v>156</v>
      </c>
    </row>
    <row r="217" ht="12.75" customHeight="1">
      <c r="C217" s="71"/>
      <c r="D217" s="102"/>
      <c r="E217" s="3">
        <v>152.0</v>
      </c>
      <c r="F217" s="103"/>
      <c r="G217" s="10"/>
      <c r="H217" s="13"/>
      <c r="I217" s="10" t="s">
        <v>156</v>
      </c>
    </row>
    <row r="218" ht="12.75" customHeight="1">
      <c r="C218" s="71"/>
      <c r="D218" s="102"/>
      <c r="E218" s="3">
        <v>153.0</v>
      </c>
      <c r="F218" s="103"/>
      <c r="G218" s="10"/>
      <c r="H218" s="13"/>
      <c r="I218" s="10" t="s">
        <v>156</v>
      </c>
    </row>
    <row r="219" ht="12.75" customHeight="1">
      <c r="C219" s="71"/>
      <c r="D219" s="102"/>
      <c r="E219" s="3">
        <v>154.0</v>
      </c>
      <c r="F219" s="103"/>
      <c r="G219" s="10"/>
      <c r="H219" s="13"/>
      <c r="I219" s="10" t="s">
        <v>156</v>
      </c>
    </row>
    <row r="220" ht="12.75" customHeight="1">
      <c r="C220" s="71"/>
      <c r="D220" s="102"/>
      <c r="E220" s="3">
        <v>155.0</v>
      </c>
      <c r="F220" s="103"/>
      <c r="G220" s="10"/>
      <c r="H220" s="13"/>
      <c r="I220" s="10" t="s">
        <v>156</v>
      </c>
    </row>
    <row r="221" ht="12.75" customHeight="1">
      <c r="C221" s="71"/>
      <c r="D221" s="102"/>
      <c r="E221" s="3">
        <v>156.0</v>
      </c>
      <c r="F221" s="103"/>
      <c r="G221" s="10"/>
      <c r="H221" s="13"/>
      <c r="I221" s="10" t="s">
        <v>156</v>
      </c>
    </row>
    <row r="222" ht="12.75" customHeight="1">
      <c r="C222" s="71"/>
      <c r="D222" s="102"/>
      <c r="E222" s="3">
        <v>157.0</v>
      </c>
      <c r="F222" s="103"/>
      <c r="G222" s="10"/>
      <c r="H222" s="13"/>
      <c r="I222" s="10" t="s">
        <v>156</v>
      </c>
    </row>
    <row r="223" ht="12.75" customHeight="1">
      <c r="C223" s="71"/>
      <c r="D223" s="102"/>
      <c r="E223" s="3">
        <v>158.0</v>
      </c>
      <c r="F223" s="103"/>
      <c r="G223" s="10"/>
      <c r="H223" s="13"/>
      <c r="I223" s="10" t="s">
        <v>156</v>
      </c>
    </row>
    <row r="224" ht="12.75" customHeight="1">
      <c r="C224" s="71"/>
      <c r="D224" s="102"/>
      <c r="E224" s="3">
        <v>159.0</v>
      </c>
      <c r="F224" s="103"/>
      <c r="G224" s="10"/>
      <c r="H224" s="13"/>
      <c r="I224" s="10" t="s">
        <v>156</v>
      </c>
    </row>
    <row r="225" ht="12.75" customHeight="1">
      <c r="C225" s="71"/>
      <c r="D225" s="102"/>
      <c r="E225" s="3">
        <v>160.0</v>
      </c>
      <c r="F225" s="103"/>
      <c r="G225" s="10"/>
      <c r="H225" s="13"/>
      <c r="I225" s="10" t="s">
        <v>156</v>
      </c>
    </row>
    <row r="226" ht="12.75" customHeight="1">
      <c r="C226" s="71"/>
      <c r="D226" s="102"/>
      <c r="E226" s="3">
        <v>161.0</v>
      </c>
      <c r="F226" s="103"/>
      <c r="G226" s="10"/>
      <c r="H226" s="13"/>
      <c r="I226" s="10" t="s">
        <v>156</v>
      </c>
    </row>
    <row r="227" ht="12.75" customHeight="1">
      <c r="C227" s="71"/>
      <c r="D227" s="102"/>
      <c r="E227" s="3">
        <v>162.0</v>
      </c>
      <c r="F227" s="103"/>
      <c r="G227" s="10"/>
      <c r="H227" s="13"/>
      <c r="I227" s="10" t="s">
        <v>156</v>
      </c>
    </row>
    <row r="228" ht="12.75" customHeight="1">
      <c r="C228" s="71"/>
      <c r="D228" s="102"/>
      <c r="E228" s="3">
        <v>163.0</v>
      </c>
      <c r="F228" s="103"/>
      <c r="G228" s="10"/>
      <c r="H228" s="13"/>
      <c r="I228" s="10" t="s">
        <v>156</v>
      </c>
    </row>
    <row r="229" ht="12.75" customHeight="1">
      <c r="C229" s="71"/>
      <c r="D229" s="102"/>
      <c r="E229" s="3">
        <v>164.0</v>
      </c>
      <c r="F229" s="103"/>
      <c r="G229" s="10"/>
      <c r="H229" s="13"/>
      <c r="I229" s="10" t="s">
        <v>156</v>
      </c>
    </row>
    <row r="230" ht="12.75" customHeight="1">
      <c r="C230" s="71"/>
      <c r="D230" s="102"/>
      <c r="E230" s="3">
        <v>165.0</v>
      </c>
      <c r="F230" s="103"/>
      <c r="G230" s="10"/>
      <c r="H230" s="13"/>
      <c r="I230" s="10" t="s">
        <v>156</v>
      </c>
    </row>
    <row r="231" ht="12.75" customHeight="1">
      <c r="C231" s="71"/>
      <c r="D231" s="102"/>
      <c r="E231" s="3">
        <v>166.0</v>
      </c>
      <c r="F231" s="103"/>
      <c r="G231" s="10"/>
      <c r="H231" s="13"/>
      <c r="I231" s="10" t="s">
        <v>156</v>
      </c>
    </row>
    <row r="232" ht="12.75" customHeight="1">
      <c r="C232" s="71"/>
      <c r="D232" s="102"/>
      <c r="E232" s="3">
        <v>167.0</v>
      </c>
      <c r="F232" s="103"/>
      <c r="G232" s="10"/>
      <c r="H232" s="13"/>
      <c r="I232" s="10" t="s">
        <v>156</v>
      </c>
    </row>
    <row r="233" ht="12.75" customHeight="1">
      <c r="C233" s="71"/>
      <c r="D233" s="102"/>
      <c r="E233" s="3">
        <v>168.0</v>
      </c>
      <c r="F233" s="103"/>
      <c r="G233" s="10"/>
      <c r="H233" s="13"/>
      <c r="I233" s="10" t="s">
        <v>156</v>
      </c>
    </row>
    <row r="234" ht="12.75" customHeight="1">
      <c r="C234" s="71"/>
      <c r="D234" s="102"/>
      <c r="E234" s="3">
        <v>169.0</v>
      </c>
      <c r="F234" s="103"/>
      <c r="G234" s="10"/>
      <c r="H234" s="13"/>
      <c r="I234" s="10" t="s">
        <v>156</v>
      </c>
    </row>
    <row r="235" ht="12.75" customHeight="1">
      <c r="C235" s="71"/>
      <c r="D235" s="102"/>
      <c r="E235" s="3">
        <v>170.0</v>
      </c>
      <c r="F235" s="103"/>
      <c r="G235" s="10"/>
      <c r="H235" s="13"/>
      <c r="I235" s="10" t="s">
        <v>156</v>
      </c>
    </row>
    <row r="236" ht="12.75" customHeight="1">
      <c r="C236" s="71"/>
      <c r="D236" s="102"/>
      <c r="E236" s="3">
        <v>171.0</v>
      </c>
      <c r="F236" s="103"/>
      <c r="G236" s="10"/>
      <c r="H236" s="13"/>
      <c r="I236" s="10" t="s">
        <v>156</v>
      </c>
    </row>
    <row r="237" ht="12.75" customHeight="1">
      <c r="C237" s="71"/>
      <c r="D237" s="102"/>
      <c r="E237" s="3">
        <v>172.0</v>
      </c>
      <c r="F237" s="103"/>
      <c r="G237" s="10"/>
      <c r="H237" s="13"/>
      <c r="I237" s="10" t="s">
        <v>156</v>
      </c>
    </row>
    <row r="238" ht="12.75" customHeight="1">
      <c r="C238" s="71"/>
      <c r="D238" s="102"/>
      <c r="E238" s="3">
        <v>173.0</v>
      </c>
      <c r="F238" s="103"/>
      <c r="G238" s="10"/>
      <c r="H238" s="13"/>
      <c r="I238" s="10" t="s">
        <v>156</v>
      </c>
    </row>
    <row r="239" ht="12.75" customHeight="1">
      <c r="C239" s="71"/>
      <c r="D239" s="102"/>
      <c r="E239" s="3">
        <v>174.0</v>
      </c>
      <c r="F239" s="103"/>
      <c r="G239" s="10"/>
      <c r="H239" s="13"/>
      <c r="I239" s="10" t="s">
        <v>156</v>
      </c>
    </row>
    <row r="240" ht="12.75" customHeight="1">
      <c r="C240" s="71"/>
      <c r="D240" s="102"/>
      <c r="E240" s="3">
        <v>175.0</v>
      </c>
      <c r="F240" s="103"/>
      <c r="G240" s="10"/>
      <c r="H240" s="13"/>
      <c r="I240" s="10" t="s">
        <v>156</v>
      </c>
    </row>
    <row r="241" ht="12.75" customHeight="1">
      <c r="C241" s="71"/>
      <c r="D241" s="102"/>
      <c r="E241" s="3">
        <v>176.0</v>
      </c>
      <c r="F241" s="103"/>
      <c r="G241" s="10"/>
      <c r="H241" s="13"/>
      <c r="I241" s="10" t="s">
        <v>156</v>
      </c>
    </row>
    <row r="242" ht="12.75" customHeight="1">
      <c r="C242" s="71"/>
      <c r="D242" s="102"/>
      <c r="E242" s="3">
        <v>177.0</v>
      </c>
      <c r="F242" s="103"/>
      <c r="G242" s="10"/>
      <c r="H242" s="13"/>
      <c r="I242" s="10" t="s">
        <v>156</v>
      </c>
    </row>
    <row r="243" ht="12.75" customHeight="1">
      <c r="C243" s="71"/>
      <c r="D243" s="102"/>
      <c r="E243" s="3">
        <v>178.0</v>
      </c>
      <c r="F243" s="103"/>
      <c r="G243" s="10"/>
      <c r="H243" s="13"/>
      <c r="I243" s="10" t="s">
        <v>156</v>
      </c>
    </row>
    <row r="244" ht="12.75" customHeight="1">
      <c r="C244" s="71"/>
      <c r="D244" s="102"/>
      <c r="E244" s="3">
        <v>179.0</v>
      </c>
      <c r="F244" s="103"/>
      <c r="G244" s="10"/>
      <c r="H244" s="13"/>
      <c r="I244" s="10" t="s">
        <v>156</v>
      </c>
    </row>
    <row r="245" ht="12.75" customHeight="1">
      <c r="C245" s="71"/>
      <c r="D245" s="102"/>
      <c r="E245" s="3">
        <v>180.0</v>
      </c>
      <c r="F245" s="103"/>
      <c r="G245" s="10"/>
      <c r="H245" s="13"/>
      <c r="I245" s="10" t="s">
        <v>156</v>
      </c>
    </row>
    <row r="246" ht="12.75" customHeight="1">
      <c r="C246" s="71"/>
      <c r="D246" s="102"/>
      <c r="E246" s="3">
        <v>181.0</v>
      </c>
      <c r="F246" s="103"/>
      <c r="G246" s="10"/>
      <c r="H246" s="13"/>
      <c r="I246" s="10" t="s">
        <v>156</v>
      </c>
    </row>
    <row r="247" ht="12.75" customHeight="1">
      <c r="C247" s="71"/>
      <c r="D247" s="102"/>
      <c r="E247" s="3">
        <v>182.0</v>
      </c>
      <c r="F247" s="103"/>
      <c r="G247" s="10"/>
      <c r="H247" s="13"/>
      <c r="I247" s="10" t="s">
        <v>156</v>
      </c>
    </row>
    <row r="248" ht="12.75" customHeight="1">
      <c r="C248" s="71"/>
      <c r="D248" s="102"/>
      <c r="E248" s="3">
        <v>183.0</v>
      </c>
      <c r="F248" s="103"/>
      <c r="G248" s="10"/>
      <c r="H248" s="13"/>
      <c r="I248" s="10" t="s">
        <v>156</v>
      </c>
    </row>
    <row r="249" ht="12.75" customHeight="1">
      <c r="C249" s="71"/>
      <c r="D249" s="102"/>
      <c r="E249" s="3">
        <v>184.0</v>
      </c>
      <c r="F249" s="103"/>
      <c r="G249" s="10"/>
      <c r="H249" s="13"/>
      <c r="I249" s="10" t="s">
        <v>156</v>
      </c>
    </row>
    <row r="250" ht="12.75" customHeight="1">
      <c r="C250" s="71"/>
      <c r="D250" s="102"/>
      <c r="E250" s="3">
        <v>185.0</v>
      </c>
      <c r="F250" s="103"/>
      <c r="G250" s="10"/>
      <c r="H250" s="13"/>
      <c r="I250" s="10" t="s">
        <v>156</v>
      </c>
    </row>
    <row r="251" ht="12.75" customHeight="1">
      <c r="C251" s="71"/>
      <c r="D251" s="102"/>
      <c r="E251" s="3">
        <v>186.0</v>
      </c>
      <c r="F251" s="103"/>
      <c r="G251" s="10"/>
      <c r="H251" s="13"/>
      <c r="I251" s="10" t="s">
        <v>156</v>
      </c>
    </row>
    <row r="252" ht="12.75" customHeight="1">
      <c r="C252" s="71"/>
      <c r="D252" s="102"/>
      <c r="E252" s="3">
        <v>187.0</v>
      </c>
      <c r="F252" s="103"/>
      <c r="G252" s="10"/>
      <c r="H252" s="13"/>
      <c r="I252" s="10" t="s">
        <v>156</v>
      </c>
    </row>
    <row r="253" ht="12.75" customHeight="1">
      <c r="C253" s="71"/>
      <c r="D253" s="102"/>
      <c r="E253" s="3">
        <v>188.0</v>
      </c>
      <c r="F253" s="103"/>
      <c r="G253" s="10"/>
      <c r="H253" s="13"/>
      <c r="I253" s="10" t="s">
        <v>156</v>
      </c>
    </row>
    <row r="254" ht="12.75" customHeight="1">
      <c r="C254" s="71"/>
      <c r="D254" s="102"/>
      <c r="E254" s="3">
        <v>189.0</v>
      </c>
      <c r="F254" s="103"/>
      <c r="G254" s="10"/>
      <c r="H254" s="13"/>
      <c r="I254" s="10" t="s">
        <v>156</v>
      </c>
    </row>
    <row r="255" ht="12.75" customHeight="1">
      <c r="C255" s="71"/>
      <c r="D255" s="102"/>
      <c r="E255" s="3">
        <v>190.0</v>
      </c>
      <c r="F255" s="103"/>
      <c r="G255" s="10"/>
      <c r="H255" s="13"/>
      <c r="I255" s="10" t="s">
        <v>156</v>
      </c>
    </row>
    <row r="256" ht="12.75" customHeight="1">
      <c r="C256" s="71"/>
      <c r="D256" s="102"/>
      <c r="E256" s="3">
        <v>191.0</v>
      </c>
      <c r="F256" s="103"/>
      <c r="G256" s="10"/>
      <c r="H256" s="13"/>
      <c r="I256" s="10" t="s">
        <v>156</v>
      </c>
    </row>
    <row r="257" ht="12.75" customHeight="1">
      <c r="C257" s="71"/>
      <c r="D257" s="102"/>
      <c r="E257" s="3">
        <v>192.0</v>
      </c>
      <c r="F257" s="103"/>
      <c r="G257" s="10"/>
      <c r="H257" s="13"/>
      <c r="I257" s="10" t="s">
        <v>156</v>
      </c>
    </row>
    <row r="258" ht="12.75" customHeight="1">
      <c r="C258" s="71"/>
      <c r="D258" s="102"/>
      <c r="E258" s="3">
        <v>193.0</v>
      </c>
      <c r="F258" s="103"/>
      <c r="G258" s="10"/>
      <c r="H258" s="13"/>
      <c r="I258" s="10" t="s">
        <v>156</v>
      </c>
    </row>
    <row r="259" ht="12.75" customHeight="1">
      <c r="C259" s="71"/>
      <c r="D259" s="102"/>
      <c r="E259" s="3">
        <v>194.0</v>
      </c>
      <c r="F259" s="103"/>
      <c r="G259" s="10"/>
      <c r="H259" s="13"/>
      <c r="I259" s="10" t="s">
        <v>156</v>
      </c>
    </row>
    <row r="260" ht="12.75" customHeight="1">
      <c r="C260" s="71"/>
      <c r="D260" s="102"/>
      <c r="E260" s="3">
        <v>195.0</v>
      </c>
      <c r="F260" s="103"/>
      <c r="G260" s="10"/>
      <c r="H260" s="13"/>
      <c r="I260" s="10" t="s">
        <v>156</v>
      </c>
    </row>
    <row r="261" ht="12.75" customHeight="1">
      <c r="C261" s="71"/>
      <c r="D261" s="102"/>
      <c r="E261" s="3">
        <v>196.0</v>
      </c>
      <c r="F261" s="103"/>
      <c r="G261" s="10"/>
      <c r="H261" s="13"/>
      <c r="I261" s="10" t="s">
        <v>156</v>
      </c>
    </row>
    <row r="262" ht="12.75" customHeight="1">
      <c r="C262" s="71"/>
      <c r="D262" s="102"/>
      <c r="E262" s="3">
        <v>197.0</v>
      </c>
      <c r="F262" s="103"/>
      <c r="G262" s="10"/>
      <c r="H262" s="13"/>
      <c r="I262" s="10" t="s">
        <v>156</v>
      </c>
    </row>
    <row r="263" ht="12.75" customHeight="1">
      <c r="C263" s="71"/>
      <c r="D263" s="102"/>
      <c r="E263" s="3">
        <v>198.0</v>
      </c>
      <c r="F263" s="103"/>
      <c r="G263" s="10"/>
      <c r="H263" s="13"/>
      <c r="I263" s="10" t="s">
        <v>156</v>
      </c>
    </row>
    <row r="264" ht="12.75" customHeight="1">
      <c r="C264" s="71"/>
      <c r="D264" s="102"/>
      <c r="E264" s="3">
        <v>199.0</v>
      </c>
      <c r="F264" s="103"/>
      <c r="G264" s="10"/>
      <c r="H264" s="13"/>
      <c r="I264" s="10" t="s">
        <v>156</v>
      </c>
    </row>
    <row r="265" ht="12.75" customHeight="1">
      <c r="C265" s="71"/>
      <c r="D265" s="102"/>
      <c r="E265" s="3">
        <v>200.0</v>
      </c>
      <c r="F265" s="103"/>
      <c r="G265" s="10"/>
      <c r="H265" s="13"/>
      <c r="I265" s="10" t="s">
        <v>156</v>
      </c>
    </row>
    <row r="266" ht="12.75" customHeight="1">
      <c r="C266" s="71"/>
      <c r="D266" s="102"/>
      <c r="E266" s="3">
        <v>201.0</v>
      </c>
      <c r="F266" s="103"/>
      <c r="G266" s="10"/>
      <c r="H266" s="13"/>
      <c r="I266" s="10" t="s">
        <v>156</v>
      </c>
    </row>
    <row r="267" ht="12.75" customHeight="1">
      <c r="C267" s="71"/>
      <c r="D267" s="102"/>
      <c r="E267" s="3">
        <v>202.0</v>
      </c>
      <c r="F267" s="103"/>
      <c r="G267" s="10"/>
      <c r="H267" s="13"/>
      <c r="I267" s="10" t="s">
        <v>156</v>
      </c>
    </row>
    <row r="268" ht="12.75" customHeight="1">
      <c r="C268" s="71"/>
      <c r="D268" s="102"/>
      <c r="E268" s="3">
        <v>203.0</v>
      </c>
      <c r="F268" s="103"/>
      <c r="G268" s="10"/>
      <c r="H268" s="13"/>
      <c r="I268" s="10" t="s">
        <v>156</v>
      </c>
    </row>
    <row r="269" ht="12.75" customHeight="1">
      <c r="C269" s="71"/>
      <c r="D269" s="102"/>
      <c r="E269" s="3">
        <v>204.0</v>
      </c>
      <c r="F269" s="103"/>
      <c r="G269" s="10"/>
      <c r="H269" s="13"/>
      <c r="I269" s="10" t="s">
        <v>156</v>
      </c>
    </row>
    <row r="270" ht="12.75" customHeight="1">
      <c r="C270" s="71"/>
      <c r="D270" s="102"/>
      <c r="E270" s="3">
        <v>205.0</v>
      </c>
      <c r="F270" s="103"/>
      <c r="G270" s="10"/>
      <c r="H270" s="13"/>
      <c r="I270" s="10" t="s">
        <v>156</v>
      </c>
    </row>
    <row r="271" ht="12.75" customHeight="1">
      <c r="C271" s="71"/>
      <c r="D271" s="102"/>
      <c r="E271" s="3">
        <v>206.0</v>
      </c>
      <c r="F271" s="103"/>
      <c r="G271" s="10"/>
      <c r="H271" s="13"/>
      <c r="I271" s="10" t="s">
        <v>156</v>
      </c>
    </row>
    <row r="272" ht="12.75" customHeight="1">
      <c r="C272" s="71"/>
      <c r="D272" s="102"/>
      <c r="E272" s="3">
        <v>207.0</v>
      </c>
      <c r="F272" s="103"/>
      <c r="G272" s="10"/>
      <c r="H272" s="13"/>
      <c r="I272" s="10" t="s">
        <v>156</v>
      </c>
    </row>
    <row r="273" ht="12.75" customHeight="1">
      <c r="C273" s="71"/>
      <c r="D273" s="102"/>
      <c r="E273" s="3">
        <v>208.0</v>
      </c>
      <c r="F273" s="103"/>
      <c r="G273" s="10"/>
      <c r="H273" s="13"/>
      <c r="I273" s="10" t="s">
        <v>156</v>
      </c>
    </row>
    <row r="274" ht="12.75" customHeight="1">
      <c r="C274" s="71"/>
      <c r="D274" s="102"/>
      <c r="E274" s="3">
        <v>209.0</v>
      </c>
      <c r="F274" s="103"/>
      <c r="G274" s="10"/>
      <c r="H274" s="13"/>
      <c r="I274" s="10" t="s">
        <v>156</v>
      </c>
    </row>
    <row r="275" ht="12.75" customHeight="1">
      <c r="C275" s="71"/>
      <c r="D275" s="102"/>
      <c r="E275" s="3">
        <v>210.0</v>
      </c>
      <c r="F275" s="103"/>
      <c r="G275" s="10"/>
      <c r="H275" s="13"/>
      <c r="I275" s="10" t="s">
        <v>156</v>
      </c>
    </row>
    <row r="276" ht="12.75" customHeight="1">
      <c r="C276" s="71"/>
      <c r="D276" s="102"/>
      <c r="E276" s="3">
        <v>211.0</v>
      </c>
      <c r="F276" s="103"/>
      <c r="G276" s="10"/>
      <c r="H276" s="13"/>
      <c r="I276" s="10" t="s">
        <v>156</v>
      </c>
    </row>
    <row r="277" ht="12.75" customHeight="1">
      <c r="C277" s="71"/>
      <c r="D277" s="102"/>
      <c r="E277" s="3">
        <v>212.0</v>
      </c>
      <c r="F277" s="103"/>
      <c r="G277" s="10"/>
      <c r="H277" s="13"/>
      <c r="I277" s="10" t="s">
        <v>156</v>
      </c>
    </row>
    <row r="278" ht="12.75" customHeight="1">
      <c r="C278" s="71"/>
      <c r="D278" s="102"/>
      <c r="E278" s="3">
        <v>213.0</v>
      </c>
      <c r="F278" s="103"/>
      <c r="G278" s="10"/>
      <c r="H278" s="13"/>
      <c r="I278" s="10" t="s">
        <v>156</v>
      </c>
    </row>
    <row r="279" ht="12.75" customHeight="1">
      <c r="C279" s="71"/>
      <c r="D279" s="102"/>
      <c r="E279" s="3">
        <v>214.0</v>
      </c>
      <c r="F279" s="103"/>
      <c r="G279" s="10"/>
      <c r="H279" s="13"/>
      <c r="I279" s="10" t="s">
        <v>156</v>
      </c>
    </row>
    <row r="280" ht="12.75" customHeight="1">
      <c r="C280" s="71"/>
      <c r="D280" s="102"/>
      <c r="E280" s="3">
        <v>215.0</v>
      </c>
      <c r="F280" s="103"/>
      <c r="G280" s="10"/>
      <c r="H280" s="13"/>
      <c r="I280" s="10" t="s">
        <v>156</v>
      </c>
    </row>
    <row r="281" ht="12.75" customHeight="1">
      <c r="C281" s="71"/>
      <c r="D281" s="102"/>
      <c r="E281" s="3">
        <v>216.0</v>
      </c>
      <c r="F281" s="103"/>
      <c r="G281" s="10"/>
      <c r="H281" s="13"/>
      <c r="I281" s="10" t="s">
        <v>156</v>
      </c>
    </row>
    <row r="282" ht="12.75" customHeight="1">
      <c r="C282" s="71"/>
      <c r="D282" s="102"/>
      <c r="E282" s="3">
        <v>217.0</v>
      </c>
      <c r="F282" s="103"/>
      <c r="G282" s="10"/>
      <c r="H282" s="13"/>
      <c r="I282" s="10" t="s">
        <v>156</v>
      </c>
    </row>
    <row r="283" ht="12.75" customHeight="1">
      <c r="C283" s="71"/>
      <c r="D283" s="102"/>
      <c r="E283" s="3">
        <v>218.0</v>
      </c>
      <c r="F283" s="103"/>
      <c r="G283" s="10"/>
      <c r="H283" s="13"/>
      <c r="I283" s="10" t="s">
        <v>156</v>
      </c>
    </row>
    <row r="284" ht="12.75" customHeight="1">
      <c r="C284" s="71"/>
      <c r="D284" s="102"/>
      <c r="E284" s="3">
        <v>219.0</v>
      </c>
      <c r="F284" s="103"/>
      <c r="G284" s="10"/>
      <c r="H284" s="13"/>
      <c r="I284" s="10" t="s">
        <v>156</v>
      </c>
    </row>
    <row r="285" ht="12.75" customHeight="1">
      <c r="C285" s="71"/>
      <c r="D285" s="102"/>
      <c r="E285" s="3">
        <v>220.0</v>
      </c>
      <c r="F285" s="103"/>
      <c r="G285" s="10"/>
      <c r="H285" s="13"/>
      <c r="I285" s="10" t="s">
        <v>156</v>
      </c>
    </row>
    <row r="286" ht="12.75" customHeight="1">
      <c r="C286" s="71"/>
      <c r="D286" s="102"/>
      <c r="E286" s="3">
        <v>221.0</v>
      </c>
      <c r="F286" s="103"/>
      <c r="G286" s="10"/>
      <c r="H286" s="13"/>
      <c r="I286" s="10" t="s">
        <v>156</v>
      </c>
    </row>
    <row r="287" ht="12.75" customHeight="1">
      <c r="C287" s="71"/>
      <c r="D287" s="102"/>
      <c r="E287" s="3">
        <v>222.0</v>
      </c>
      <c r="F287" s="103"/>
      <c r="G287" s="10"/>
      <c r="H287" s="13"/>
      <c r="I287" s="10" t="s">
        <v>156</v>
      </c>
    </row>
    <row r="288" ht="12.75" customHeight="1">
      <c r="C288" s="71"/>
      <c r="D288" s="102"/>
      <c r="E288" s="3">
        <v>223.0</v>
      </c>
      <c r="F288" s="103"/>
      <c r="G288" s="10"/>
      <c r="H288" s="13"/>
      <c r="I288" s="10" t="s">
        <v>156</v>
      </c>
    </row>
    <row r="289" ht="12.75" customHeight="1">
      <c r="C289" s="71"/>
      <c r="D289" s="102"/>
      <c r="E289" s="3">
        <v>224.0</v>
      </c>
      <c r="F289" s="103"/>
      <c r="G289" s="10"/>
      <c r="H289" s="13"/>
      <c r="I289" s="10" t="s">
        <v>156</v>
      </c>
    </row>
    <row r="290" ht="12.75" customHeight="1">
      <c r="C290" s="71"/>
      <c r="D290" s="102"/>
      <c r="E290" s="3">
        <v>225.0</v>
      </c>
      <c r="F290" s="103"/>
      <c r="G290" s="10"/>
      <c r="H290" s="13"/>
      <c r="I290" s="10" t="s">
        <v>156</v>
      </c>
    </row>
    <row r="291" ht="12.75" customHeight="1">
      <c r="C291" s="71"/>
      <c r="D291" s="102"/>
      <c r="E291" s="3">
        <v>226.0</v>
      </c>
      <c r="F291" s="103"/>
      <c r="G291" s="10"/>
      <c r="H291" s="13"/>
      <c r="I291" s="10" t="s">
        <v>156</v>
      </c>
    </row>
    <row r="292" ht="12.75" customHeight="1">
      <c r="C292" s="71"/>
      <c r="D292" s="102"/>
      <c r="E292" s="3">
        <v>227.0</v>
      </c>
      <c r="F292" s="103"/>
      <c r="G292" s="10"/>
      <c r="H292" s="13"/>
      <c r="I292" s="10" t="s">
        <v>156</v>
      </c>
    </row>
    <row r="293" ht="12.75" customHeight="1">
      <c r="C293" s="71"/>
      <c r="D293" s="102"/>
      <c r="E293" s="3">
        <v>228.0</v>
      </c>
      <c r="F293" s="103"/>
      <c r="G293" s="10"/>
      <c r="H293" s="13"/>
      <c r="I293" s="10" t="s">
        <v>156</v>
      </c>
    </row>
    <row r="294" ht="12.75" customHeight="1">
      <c r="C294" s="71"/>
      <c r="D294" s="102"/>
      <c r="E294" s="3">
        <v>229.0</v>
      </c>
      <c r="F294" s="103"/>
      <c r="G294" s="10"/>
      <c r="H294" s="13"/>
      <c r="I294" s="10" t="s">
        <v>156</v>
      </c>
    </row>
    <row r="295" ht="12.75" customHeight="1">
      <c r="C295" s="71"/>
      <c r="D295" s="102"/>
      <c r="E295" s="3">
        <v>230.0</v>
      </c>
      <c r="F295" s="103"/>
      <c r="G295" s="10"/>
      <c r="H295" s="13"/>
      <c r="I295" s="10" t="s">
        <v>156</v>
      </c>
    </row>
    <row r="296" ht="12.75" customHeight="1">
      <c r="C296" s="71"/>
      <c r="D296" s="102"/>
      <c r="E296" s="3">
        <v>231.0</v>
      </c>
      <c r="F296" s="103"/>
      <c r="G296" s="10"/>
      <c r="H296" s="13"/>
      <c r="I296" s="10" t="s">
        <v>156</v>
      </c>
    </row>
    <row r="297" ht="12.75" customHeight="1">
      <c r="C297" s="71"/>
      <c r="D297" s="102"/>
      <c r="E297" s="3">
        <v>232.0</v>
      </c>
      <c r="F297" s="103"/>
      <c r="G297" s="10"/>
      <c r="H297" s="13"/>
      <c r="I297" s="10" t="s">
        <v>156</v>
      </c>
    </row>
    <row r="298" ht="12.75" customHeight="1">
      <c r="C298" s="71"/>
      <c r="D298" s="102"/>
      <c r="E298" s="3">
        <v>233.0</v>
      </c>
      <c r="F298" s="103"/>
      <c r="G298" s="10"/>
      <c r="H298" s="13"/>
      <c r="I298" s="10" t="s">
        <v>156</v>
      </c>
    </row>
    <row r="299" ht="12.75" customHeight="1">
      <c r="C299" s="71"/>
      <c r="D299" s="102"/>
      <c r="E299" s="3">
        <v>234.0</v>
      </c>
      <c r="F299" s="103"/>
      <c r="G299" s="10"/>
      <c r="H299" s="13"/>
      <c r="I299" s="10" t="s">
        <v>156</v>
      </c>
    </row>
    <row r="300" ht="12.75" customHeight="1">
      <c r="C300" s="71"/>
      <c r="D300" s="102"/>
      <c r="E300" s="3">
        <v>235.0</v>
      </c>
      <c r="F300" s="103"/>
      <c r="G300" s="10"/>
      <c r="H300" s="13"/>
      <c r="I300" s="10" t="s">
        <v>156</v>
      </c>
    </row>
    <row r="301" ht="12.75" customHeight="1">
      <c r="C301" s="71"/>
      <c r="D301" s="102"/>
      <c r="E301" s="3">
        <v>236.0</v>
      </c>
      <c r="F301" s="103"/>
      <c r="G301" s="10"/>
      <c r="H301" s="13"/>
      <c r="I301" s="10" t="s">
        <v>156</v>
      </c>
    </row>
    <row r="302" ht="12.75" customHeight="1">
      <c r="C302" s="71"/>
      <c r="D302" s="102"/>
      <c r="E302" s="3">
        <v>237.0</v>
      </c>
      <c r="F302" s="103"/>
      <c r="G302" s="10"/>
      <c r="H302" s="13"/>
      <c r="I302" s="10" t="s">
        <v>156</v>
      </c>
    </row>
    <row r="303" ht="12.75" customHeight="1">
      <c r="C303" s="71"/>
      <c r="D303" s="102"/>
      <c r="E303" s="3">
        <v>238.0</v>
      </c>
      <c r="F303" s="103"/>
      <c r="G303" s="10"/>
      <c r="H303" s="13"/>
      <c r="I303" s="10" t="s">
        <v>156</v>
      </c>
    </row>
    <row r="304" ht="12.75" customHeight="1">
      <c r="C304" s="71"/>
      <c r="D304" s="102"/>
      <c r="E304" s="3">
        <v>239.0</v>
      </c>
      <c r="F304" s="103"/>
      <c r="G304" s="10"/>
      <c r="H304" s="13"/>
      <c r="I304" s="10" t="s">
        <v>156</v>
      </c>
    </row>
    <row r="305" ht="12.75" customHeight="1">
      <c r="C305" s="71"/>
      <c r="D305" s="102"/>
      <c r="E305" s="3">
        <v>240.0</v>
      </c>
      <c r="F305" s="103"/>
      <c r="G305" s="10"/>
      <c r="H305" s="13"/>
      <c r="I305" s="10" t="s">
        <v>156</v>
      </c>
    </row>
    <row r="306" ht="12.75" customHeight="1">
      <c r="C306" s="71"/>
      <c r="D306" s="102"/>
      <c r="E306" s="3">
        <v>241.0</v>
      </c>
      <c r="F306" s="103"/>
      <c r="G306" s="10"/>
      <c r="H306" s="13"/>
      <c r="I306" s="10" t="s">
        <v>156</v>
      </c>
    </row>
    <row r="307" ht="12.75" customHeight="1">
      <c r="C307" s="71"/>
      <c r="D307" s="102"/>
      <c r="E307" s="3">
        <v>242.0</v>
      </c>
      <c r="F307" s="103"/>
      <c r="G307" s="10"/>
      <c r="H307" s="13"/>
      <c r="I307" s="10" t="s">
        <v>156</v>
      </c>
    </row>
    <row r="308" ht="12.75" customHeight="1">
      <c r="C308" s="71"/>
      <c r="D308" s="102"/>
      <c r="E308" s="3">
        <v>243.0</v>
      </c>
      <c r="F308" s="103"/>
      <c r="G308" s="10"/>
      <c r="H308" s="13"/>
      <c r="I308" s="10" t="s">
        <v>156</v>
      </c>
    </row>
    <row r="309" ht="12.75" customHeight="1">
      <c r="C309" s="71"/>
      <c r="D309" s="102"/>
      <c r="E309" s="3">
        <v>244.0</v>
      </c>
      <c r="F309" s="103"/>
      <c r="G309" s="10"/>
      <c r="H309" s="13"/>
      <c r="I309" s="10" t="s">
        <v>156</v>
      </c>
    </row>
    <row r="310" ht="12.75" customHeight="1">
      <c r="C310" s="71"/>
      <c r="D310" s="102"/>
      <c r="E310" s="3">
        <v>245.0</v>
      </c>
      <c r="F310" s="103"/>
      <c r="G310" s="10"/>
      <c r="H310" s="13"/>
      <c r="I310" s="10" t="s">
        <v>156</v>
      </c>
    </row>
    <row r="311" ht="12.75" customHeight="1">
      <c r="C311" s="71"/>
      <c r="D311" s="102"/>
      <c r="E311" s="3">
        <v>246.0</v>
      </c>
      <c r="F311" s="103"/>
      <c r="G311" s="10"/>
      <c r="H311" s="13"/>
      <c r="I311" s="10" t="s">
        <v>156</v>
      </c>
    </row>
    <row r="312" ht="12.75" customHeight="1">
      <c r="C312" s="71"/>
      <c r="D312" s="102"/>
      <c r="E312" s="3">
        <v>247.0</v>
      </c>
      <c r="F312" s="103"/>
      <c r="G312" s="10"/>
      <c r="H312" s="13"/>
      <c r="I312" s="10" t="s">
        <v>156</v>
      </c>
    </row>
    <row r="313" ht="12.75" customHeight="1">
      <c r="C313" s="71"/>
      <c r="D313" s="102"/>
      <c r="E313" s="3">
        <v>248.0</v>
      </c>
      <c r="F313" s="103"/>
      <c r="G313" s="10"/>
      <c r="H313" s="13"/>
      <c r="I313" s="10" t="s">
        <v>156</v>
      </c>
    </row>
    <row r="314" ht="12.75" customHeight="1">
      <c r="C314" s="71"/>
      <c r="D314" s="102"/>
      <c r="E314" s="3">
        <v>249.0</v>
      </c>
      <c r="F314" s="103"/>
      <c r="G314" s="10"/>
      <c r="H314" s="13"/>
      <c r="I314" s="10" t="s">
        <v>156</v>
      </c>
    </row>
    <row r="315" ht="12.75" customHeight="1">
      <c r="C315" s="71"/>
      <c r="D315" s="102"/>
      <c r="E315" s="3">
        <v>250.0</v>
      </c>
      <c r="F315" s="103"/>
      <c r="G315" s="10"/>
      <c r="H315" s="13"/>
      <c r="I315" s="10" t="s">
        <v>156</v>
      </c>
    </row>
    <row r="316" ht="12.75" customHeight="1">
      <c r="C316" s="71"/>
      <c r="D316" s="102"/>
      <c r="E316" s="3">
        <v>251.0</v>
      </c>
      <c r="F316" s="103"/>
      <c r="G316" s="10"/>
      <c r="H316" s="13"/>
      <c r="I316" s="10" t="s">
        <v>156</v>
      </c>
    </row>
    <row r="317" ht="12.75" customHeight="1">
      <c r="C317" s="71"/>
      <c r="D317" s="102"/>
      <c r="E317" s="3">
        <v>252.0</v>
      </c>
      <c r="F317" s="103"/>
      <c r="G317" s="10"/>
      <c r="H317" s="13"/>
      <c r="I317" s="10" t="s">
        <v>156</v>
      </c>
    </row>
    <row r="318" ht="12.75" customHeight="1">
      <c r="C318" s="71"/>
      <c r="D318" s="102"/>
      <c r="E318" s="3">
        <v>253.0</v>
      </c>
      <c r="F318" s="103"/>
      <c r="G318" s="10"/>
      <c r="H318" s="13"/>
      <c r="I318" s="10" t="s">
        <v>156</v>
      </c>
    </row>
    <row r="319" ht="12.75" customHeight="1">
      <c r="C319" s="71"/>
      <c r="D319" s="102"/>
      <c r="E319" s="3">
        <v>254.0</v>
      </c>
      <c r="F319" s="103"/>
      <c r="G319" s="10"/>
      <c r="H319" s="13"/>
      <c r="I319" s="10" t="s">
        <v>156</v>
      </c>
    </row>
    <row r="320" ht="12.75" customHeight="1">
      <c r="C320" s="71"/>
      <c r="D320" s="102"/>
      <c r="E320" s="3">
        <v>255.0</v>
      </c>
      <c r="F320" s="103"/>
      <c r="G320" s="10"/>
      <c r="H320" s="13"/>
      <c r="I320" s="10" t="s">
        <v>156</v>
      </c>
    </row>
    <row r="321" ht="12.75" customHeight="1">
      <c r="C321" s="71"/>
      <c r="D321" s="102"/>
      <c r="E321" s="3">
        <v>256.0</v>
      </c>
      <c r="F321" s="103"/>
      <c r="G321" s="10"/>
      <c r="H321" s="13"/>
      <c r="I321" s="10" t="s">
        <v>156</v>
      </c>
    </row>
    <row r="322" ht="12.75" customHeight="1">
      <c r="C322" s="71"/>
      <c r="D322" s="102"/>
      <c r="E322" s="3">
        <v>257.0</v>
      </c>
      <c r="F322" s="103"/>
      <c r="G322" s="10"/>
      <c r="H322" s="13"/>
      <c r="I322" s="10" t="s">
        <v>156</v>
      </c>
    </row>
    <row r="323" ht="12.75" customHeight="1">
      <c r="C323" s="71"/>
      <c r="D323" s="102"/>
      <c r="E323" s="3">
        <v>258.0</v>
      </c>
      <c r="F323" s="103"/>
      <c r="G323" s="10"/>
      <c r="H323" s="13"/>
      <c r="I323" s="10" t="s">
        <v>156</v>
      </c>
    </row>
    <row r="324" ht="12.75" customHeight="1">
      <c r="C324" s="71"/>
      <c r="D324" s="102"/>
      <c r="E324" s="3">
        <v>259.0</v>
      </c>
      <c r="F324" s="103"/>
      <c r="G324" s="10"/>
      <c r="H324" s="13"/>
      <c r="I324" s="10" t="s">
        <v>156</v>
      </c>
    </row>
    <row r="325" ht="12.75" customHeight="1">
      <c r="C325" s="71"/>
      <c r="D325" s="102"/>
      <c r="E325" s="3">
        <v>260.0</v>
      </c>
      <c r="F325" s="103"/>
      <c r="G325" s="10"/>
      <c r="H325" s="13"/>
      <c r="I325" s="10" t="s">
        <v>156</v>
      </c>
    </row>
    <row r="326" ht="12.75" customHeight="1">
      <c r="C326" s="71"/>
      <c r="D326" s="102"/>
      <c r="E326" s="3">
        <v>261.0</v>
      </c>
      <c r="F326" s="103"/>
      <c r="G326" s="10"/>
      <c r="H326" s="13"/>
      <c r="I326" s="10" t="s">
        <v>156</v>
      </c>
    </row>
    <row r="327" ht="12.75" customHeight="1">
      <c r="C327" s="71"/>
      <c r="D327" s="102"/>
      <c r="E327" s="3">
        <v>262.0</v>
      </c>
      <c r="F327" s="103"/>
      <c r="G327" s="10"/>
      <c r="H327" s="13"/>
      <c r="I327" s="10" t="s">
        <v>156</v>
      </c>
    </row>
    <row r="328" ht="12.75" customHeight="1">
      <c r="C328" s="71"/>
      <c r="D328" s="102"/>
      <c r="E328" s="3">
        <v>263.0</v>
      </c>
      <c r="F328" s="103"/>
      <c r="G328" s="10"/>
      <c r="H328" s="13"/>
      <c r="I328" s="10" t="s">
        <v>156</v>
      </c>
    </row>
    <row r="329" ht="12.75" customHeight="1">
      <c r="C329" s="71"/>
      <c r="D329" s="102"/>
      <c r="E329" s="3">
        <v>264.0</v>
      </c>
      <c r="F329" s="103"/>
      <c r="G329" s="10"/>
      <c r="H329" s="13"/>
      <c r="I329" s="10" t="s">
        <v>156</v>
      </c>
    </row>
    <row r="330" ht="12.75" customHeight="1">
      <c r="C330" s="71"/>
      <c r="D330" s="102"/>
      <c r="E330" s="3">
        <v>265.0</v>
      </c>
      <c r="F330" s="103"/>
      <c r="G330" s="10"/>
      <c r="H330" s="13"/>
      <c r="I330" s="10" t="s">
        <v>156</v>
      </c>
    </row>
    <row r="331" ht="12.75" customHeight="1">
      <c r="C331" s="71"/>
      <c r="D331" s="102"/>
      <c r="E331" s="3">
        <v>266.0</v>
      </c>
      <c r="F331" s="103"/>
      <c r="G331" s="10"/>
      <c r="H331" s="13"/>
      <c r="I331" s="10" t="s">
        <v>156</v>
      </c>
    </row>
    <row r="332" ht="12.75" customHeight="1">
      <c r="C332" s="71"/>
      <c r="D332" s="102"/>
      <c r="E332" s="3">
        <v>267.0</v>
      </c>
      <c r="F332" s="103"/>
      <c r="G332" s="10"/>
      <c r="H332" s="13"/>
      <c r="I332" s="10" t="s">
        <v>156</v>
      </c>
    </row>
    <row r="333" ht="12.75" customHeight="1">
      <c r="C333" s="71"/>
      <c r="D333" s="102"/>
      <c r="E333" s="3">
        <v>268.0</v>
      </c>
      <c r="F333" s="103"/>
      <c r="G333" s="10"/>
      <c r="H333" s="13"/>
      <c r="I333" s="10" t="s">
        <v>156</v>
      </c>
    </row>
    <row r="334" ht="12.75" customHeight="1">
      <c r="C334" s="71"/>
      <c r="D334" s="102"/>
      <c r="E334" s="3">
        <v>269.0</v>
      </c>
      <c r="F334" s="103"/>
      <c r="G334" s="10"/>
      <c r="H334" s="13"/>
      <c r="I334" s="10" t="s">
        <v>156</v>
      </c>
    </row>
    <row r="335" ht="12.75" customHeight="1">
      <c r="C335" s="71"/>
      <c r="D335" s="102"/>
      <c r="E335" s="3">
        <v>270.0</v>
      </c>
      <c r="F335" s="103"/>
      <c r="G335" s="10"/>
      <c r="H335" s="13"/>
      <c r="I335" s="10" t="s">
        <v>156</v>
      </c>
    </row>
    <row r="336" ht="12.75" customHeight="1">
      <c r="C336" s="71"/>
      <c r="D336" s="102"/>
      <c r="E336" s="3">
        <v>271.0</v>
      </c>
      <c r="F336" s="103"/>
      <c r="G336" s="10"/>
      <c r="H336" s="13"/>
      <c r="I336" s="10" t="s">
        <v>156</v>
      </c>
    </row>
    <row r="337" ht="12.75" customHeight="1">
      <c r="C337" s="71"/>
      <c r="D337" s="102"/>
      <c r="E337" s="3">
        <v>272.0</v>
      </c>
      <c r="F337" s="103"/>
      <c r="G337" s="10"/>
      <c r="H337" s="13"/>
      <c r="I337" s="10" t="s">
        <v>156</v>
      </c>
    </row>
    <row r="338" ht="12.75" customHeight="1">
      <c r="C338" s="71"/>
      <c r="D338" s="102"/>
      <c r="E338" s="3">
        <v>273.0</v>
      </c>
      <c r="F338" s="103"/>
      <c r="G338" s="10"/>
      <c r="H338" s="13"/>
      <c r="I338" s="10" t="s">
        <v>156</v>
      </c>
    </row>
    <row r="339" ht="12.75" customHeight="1">
      <c r="C339" s="71"/>
      <c r="D339" s="102"/>
      <c r="E339" s="3">
        <v>274.0</v>
      </c>
      <c r="F339" s="103"/>
      <c r="G339" s="10"/>
      <c r="H339" s="13"/>
      <c r="I339" s="10" t="s">
        <v>156</v>
      </c>
    </row>
    <row r="340" ht="12.75" customHeight="1">
      <c r="C340" s="71"/>
      <c r="D340" s="102"/>
      <c r="E340" s="3">
        <v>275.0</v>
      </c>
      <c r="F340" s="103"/>
      <c r="G340" s="10"/>
      <c r="H340" s="13"/>
      <c r="I340" s="10" t="s">
        <v>156</v>
      </c>
    </row>
    <row r="341" ht="12.75" customHeight="1">
      <c r="C341" s="71"/>
      <c r="D341" s="102"/>
      <c r="E341" s="3">
        <v>276.0</v>
      </c>
      <c r="F341" s="103"/>
      <c r="G341" s="10"/>
      <c r="H341" s="13"/>
      <c r="I341" s="10" t="s">
        <v>156</v>
      </c>
    </row>
    <row r="342" ht="12.75" customHeight="1">
      <c r="C342" s="71"/>
      <c r="D342" s="102"/>
      <c r="E342" s="3">
        <v>277.0</v>
      </c>
      <c r="F342" s="103"/>
      <c r="G342" s="10"/>
      <c r="H342" s="13"/>
      <c r="I342" s="10" t="s">
        <v>156</v>
      </c>
    </row>
    <row r="343" ht="12.75" customHeight="1">
      <c r="C343" s="71"/>
      <c r="D343" s="102"/>
      <c r="E343" s="3">
        <v>278.0</v>
      </c>
      <c r="F343" s="103"/>
      <c r="G343" s="10"/>
      <c r="H343" s="13"/>
      <c r="I343" s="10" t="s">
        <v>156</v>
      </c>
    </row>
    <row r="344" ht="12.75" customHeight="1">
      <c r="C344" s="71"/>
      <c r="D344" s="102"/>
      <c r="E344" s="3">
        <v>279.0</v>
      </c>
      <c r="F344" s="103"/>
      <c r="G344" s="10"/>
      <c r="H344" s="13"/>
      <c r="I344" s="10" t="s">
        <v>156</v>
      </c>
    </row>
    <row r="345" ht="12.75" customHeight="1">
      <c r="C345" s="71"/>
      <c r="D345" s="102"/>
      <c r="E345" s="3">
        <v>280.0</v>
      </c>
      <c r="F345" s="103"/>
      <c r="G345" s="10"/>
      <c r="H345" s="13"/>
      <c r="I345" s="10" t="s">
        <v>156</v>
      </c>
    </row>
    <row r="346" ht="12.75" customHeight="1">
      <c r="C346" s="71"/>
      <c r="D346" s="102"/>
      <c r="E346" s="3">
        <v>281.0</v>
      </c>
      <c r="F346" s="103"/>
      <c r="G346" s="10"/>
      <c r="H346" s="13"/>
      <c r="I346" s="10" t="s">
        <v>156</v>
      </c>
    </row>
    <row r="347" ht="12.75" customHeight="1">
      <c r="C347" s="71"/>
      <c r="D347" s="102"/>
      <c r="E347" s="3">
        <v>282.0</v>
      </c>
      <c r="F347" s="103"/>
      <c r="G347" s="10"/>
      <c r="H347" s="13"/>
      <c r="I347" s="10" t="s">
        <v>156</v>
      </c>
    </row>
    <row r="348" ht="12.75" customHeight="1">
      <c r="C348" s="71"/>
      <c r="D348" s="102"/>
      <c r="E348" s="3">
        <v>283.0</v>
      </c>
      <c r="F348" s="103"/>
      <c r="G348" s="10"/>
      <c r="H348" s="13"/>
      <c r="I348" s="10" t="s">
        <v>156</v>
      </c>
    </row>
    <row r="349" ht="12.75" customHeight="1">
      <c r="C349" s="71"/>
      <c r="D349" s="102"/>
      <c r="E349" s="3">
        <v>284.0</v>
      </c>
      <c r="F349" s="103"/>
      <c r="G349" s="10"/>
      <c r="H349" s="13"/>
      <c r="I349" s="10" t="s">
        <v>156</v>
      </c>
    </row>
    <row r="350" ht="12.75" customHeight="1">
      <c r="C350" s="71"/>
      <c r="D350" s="102"/>
      <c r="E350" s="3">
        <v>285.0</v>
      </c>
      <c r="F350" s="103"/>
      <c r="G350" s="10"/>
      <c r="H350" s="13"/>
      <c r="I350" s="10" t="s">
        <v>156</v>
      </c>
    </row>
    <row r="351" ht="12.75" customHeight="1">
      <c r="C351" s="71"/>
      <c r="D351" s="102"/>
      <c r="E351" s="3">
        <v>286.0</v>
      </c>
      <c r="F351" s="103"/>
      <c r="G351" s="10"/>
      <c r="H351" s="13"/>
      <c r="I351" s="10" t="s">
        <v>156</v>
      </c>
    </row>
    <row r="352" ht="12.75" customHeight="1">
      <c r="C352" s="71"/>
      <c r="D352" s="102"/>
      <c r="E352" s="3">
        <v>287.0</v>
      </c>
      <c r="F352" s="103"/>
      <c r="G352" s="10"/>
      <c r="H352" s="13"/>
      <c r="I352" s="10" t="s">
        <v>156</v>
      </c>
    </row>
    <row r="353" ht="12.75" customHeight="1">
      <c r="C353" s="71"/>
      <c r="D353" s="102"/>
      <c r="E353" s="3">
        <v>288.0</v>
      </c>
      <c r="F353" s="103"/>
      <c r="G353" s="10"/>
      <c r="H353" s="13"/>
      <c r="I353" s="10" t="s">
        <v>156</v>
      </c>
    </row>
    <row r="354" ht="12.75" customHeight="1">
      <c r="C354" s="71"/>
      <c r="D354" s="102"/>
      <c r="E354" s="3">
        <v>289.0</v>
      </c>
      <c r="F354" s="103"/>
      <c r="G354" s="10"/>
      <c r="H354" s="13"/>
      <c r="I354" s="10" t="s">
        <v>156</v>
      </c>
    </row>
    <row r="355" ht="12.75" customHeight="1">
      <c r="C355" s="71"/>
      <c r="D355" s="102"/>
      <c r="E355" s="3">
        <v>290.0</v>
      </c>
      <c r="F355" s="103"/>
      <c r="G355" s="10"/>
      <c r="H355" s="13"/>
      <c r="I355" s="10" t="s">
        <v>156</v>
      </c>
    </row>
    <row r="356" ht="12.75" customHeight="1">
      <c r="C356" s="71"/>
      <c r="D356" s="102"/>
      <c r="E356" s="3">
        <v>291.0</v>
      </c>
      <c r="F356" s="103"/>
      <c r="G356" s="10"/>
      <c r="H356" s="13"/>
      <c r="I356" s="10" t="s">
        <v>156</v>
      </c>
    </row>
    <row r="357" ht="12.75" customHeight="1">
      <c r="C357" s="71"/>
      <c r="D357" s="102"/>
      <c r="E357" s="3">
        <v>292.0</v>
      </c>
      <c r="F357" s="103"/>
      <c r="G357" s="10"/>
      <c r="H357" s="13"/>
      <c r="I357" s="10" t="s">
        <v>156</v>
      </c>
    </row>
    <row r="358" ht="12.75" customHeight="1">
      <c r="C358" s="71"/>
      <c r="D358" s="102"/>
      <c r="E358" s="3">
        <v>293.0</v>
      </c>
      <c r="F358" s="103"/>
      <c r="G358" s="10"/>
      <c r="H358" s="13"/>
      <c r="I358" s="10" t="s">
        <v>156</v>
      </c>
    </row>
    <row r="359" ht="12.75" customHeight="1">
      <c r="C359" s="71"/>
      <c r="D359" s="102"/>
      <c r="E359" s="3">
        <v>294.0</v>
      </c>
      <c r="F359" s="103"/>
      <c r="G359" s="10"/>
      <c r="H359" s="13"/>
      <c r="I359" s="10" t="s">
        <v>156</v>
      </c>
    </row>
    <row r="360" ht="12.75" customHeight="1">
      <c r="C360" s="71"/>
      <c r="D360" s="102"/>
      <c r="E360" s="3">
        <v>295.0</v>
      </c>
      <c r="F360" s="103"/>
      <c r="G360" s="10"/>
      <c r="H360" s="13"/>
      <c r="I360" s="10" t="s">
        <v>156</v>
      </c>
    </row>
    <row r="361" ht="12.75" customHeight="1">
      <c r="C361" s="71"/>
      <c r="D361" s="102"/>
      <c r="E361" s="3">
        <v>296.0</v>
      </c>
      <c r="F361" s="103"/>
      <c r="G361" s="10"/>
      <c r="H361" s="13"/>
      <c r="I361" s="10" t="s">
        <v>156</v>
      </c>
    </row>
    <row r="362" ht="12.75" customHeight="1">
      <c r="C362" s="71"/>
      <c r="D362" s="102"/>
      <c r="E362" s="3">
        <v>297.0</v>
      </c>
      <c r="F362" s="103"/>
      <c r="G362" s="10"/>
      <c r="H362" s="13"/>
      <c r="I362" s="10" t="s">
        <v>156</v>
      </c>
    </row>
    <row r="363" ht="12.75" customHeight="1">
      <c r="C363" s="71"/>
      <c r="D363" s="102"/>
      <c r="E363" s="3">
        <v>298.0</v>
      </c>
      <c r="F363" s="103"/>
      <c r="G363" s="10"/>
      <c r="H363" s="13"/>
      <c r="I363" s="10" t="s">
        <v>156</v>
      </c>
    </row>
    <row r="364" ht="12.75" customHeight="1">
      <c r="C364" s="71"/>
      <c r="D364" s="102"/>
      <c r="E364" s="3">
        <v>299.0</v>
      </c>
      <c r="F364" s="103"/>
      <c r="G364" s="10"/>
      <c r="H364" s="13"/>
      <c r="I364" s="10" t="s">
        <v>156</v>
      </c>
    </row>
    <row r="365" ht="12.75" customHeight="1">
      <c r="C365" s="71"/>
      <c r="D365" s="102"/>
      <c r="E365" s="3">
        <v>300.0</v>
      </c>
      <c r="F365" s="103"/>
      <c r="G365" s="10"/>
      <c r="H365" s="13"/>
      <c r="I365" s="10" t="s">
        <v>156</v>
      </c>
    </row>
    <row r="366" ht="12.75" customHeight="1">
      <c r="C366" s="71"/>
      <c r="D366" s="102"/>
      <c r="E366" s="3">
        <v>301.0</v>
      </c>
      <c r="F366" s="103"/>
      <c r="G366" s="10"/>
      <c r="H366" s="13"/>
      <c r="I366" s="10" t="s">
        <v>156</v>
      </c>
    </row>
    <row r="367" ht="12.75" customHeight="1">
      <c r="C367" s="71"/>
      <c r="D367" s="102"/>
      <c r="E367" s="3">
        <v>302.0</v>
      </c>
      <c r="F367" s="103"/>
      <c r="G367" s="10"/>
      <c r="H367" s="13"/>
      <c r="I367" s="10" t="s">
        <v>156</v>
      </c>
    </row>
    <row r="368" ht="12.75" customHeight="1">
      <c r="C368" s="71"/>
      <c r="D368" s="102"/>
      <c r="E368" s="3">
        <v>303.0</v>
      </c>
      <c r="F368" s="103"/>
      <c r="G368" s="10"/>
      <c r="H368" s="13"/>
      <c r="I368" s="10" t="s">
        <v>156</v>
      </c>
    </row>
    <row r="369" ht="12.75" customHeight="1">
      <c r="C369" s="71"/>
      <c r="D369" s="102"/>
      <c r="E369" s="3">
        <v>304.0</v>
      </c>
      <c r="F369" s="103"/>
      <c r="G369" s="10"/>
      <c r="H369" s="13"/>
      <c r="I369" s="10" t="s">
        <v>156</v>
      </c>
    </row>
    <row r="370" ht="12.75" customHeight="1">
      <c r="C370" s="71"/>
      <c r="D370" s="102"/>
      <c r="E370" s="3">
        <v>305.0</v>
      </c>
      <c r="F370" s="103"/>
      <c r="G370" s="10"/>
      <c r="H370" s="13"/>
      <c r="I370" s="10" t="s">
        <v>156</v>
      </c>
    </row>
    <row r="371" ht="12.75" customHeight="1">
      <c r="C371" s="71"/>
      <c r="D371" s="102"/>
      <c r="E371" s="3">
        <v>306.0</v>
      </c>
      <c r="F371" s="103"/>
      <c r="G371" s="10"/>
      <c r="H371" s="13"/>
      <c r="I371" s="10" t="s">
        <v>156</v>
      </c>
    </row>
    <row r="372" ht="12.75" customHeight="1">
      <c r="C372" s="71"/>
      <c r="D372" s="102"/>
      <c r="E372" s="3">
        <v>307.0</v>
      </c>
      <c r="F372" s="103"/>
      <c r="G372" s="10"/>
      <c r="H372" s="13"/>
      <c r="I372" s="10" t="s">
        <v>156</v>
      </c>
    </row>
    <row r="373" ht="12.75" customHeight="1">
      <c r="C373" s="71"/>
      <c r="D373" s="102"/>
      <c r="E373" s="3">
        <v>308.0</v>
      </c>
      <c r="F373" s="103"/>
      <c r="G373" s="10"/>
      <c r="H373" s="13"/>
      <c r="I373" s="10" t="s">
        <v>156</v>
      </c>
    </row>
    <row r="374" ht="12.75" customHeight="1">
      <c r="C374" s="71"/>
      <c r="D374" s="102"/>
      <c r="E374" s="3">
        <v>309.0</v>
      </c>
      <c r="F374" s="103"/>
      <c r="G374" s="10"/>
      <c r="H374" s="13"/>
      <c r="I374" s="10" t="s">
        <v>156</v>
      </c>
    </row>
    <row r="375" ht="12.75" customHeight="1">
      <c r="C375" s="71"/>
      <c r="D375" s="102"/>
      <c r="E375" s="3">
        <v>310.0</v>
      </c>
      <c r="F375" s="103"/>
      <c r="G375" s="10"/>
      <c r="H375" s="13"/>
      <c r="I375" s="10" t="s">
        <v>156</v>
      </c>
    </row>
    <row r="376" ht="12.75" customHeight="1">
      <c r="C376" s="71"/>
      <c r="D376" s="102"/>
      <c r="E376" s="3">
        <v>311.0</v>
      </c>
      <c r="F376" s="103"/>
      <c r="G376" s="10"/>
      <c r="H376" s="13"/>
      <c r="I376" s="10" t="s">
        <v>156</v>
      </c>
    </row>
    <row r="377" ht="12.75" customHeight="1">
      <c r="C377" s="71"/>
      <c r="D377" s="102"/>
      <c r="E377" s="3">
        <v>312.0</v>
      </c>
      <c r="F377" s="103"/>
      <c r="G377" s="10"/>
      <c r="H377" s="13"/>
      <c r="I377" s="10" t="s">
        <v>156</v>
      </c>
    </row>
    <row r="378" ht="12.75" customHeight="1">
      <c r="C378" s="71"/>
      <c r="D378" s="102"/>
      <c r="E378" s="3">
        <v>313.0</v>
      </c>
      <c r="F378" s="103"/>
      <c r="G378" s="10"/>
      <c r="H378" s="13"/>
      <c r="I378" s="10" t="s">
        <v>156</v>
      </c>
    </row>
    <row r="379" ht="12.75" customHeight="1">
      <c r="C379" s="71"/>
      <c r="D379" s="102"/>
      <c r="E379" s="3">
        <v>314.0</v>
      </c>
      <c r="F379" s="103"/>
      <c r="G379" s="10"/>
      <c r="H379" s="13"/>
      <c r="I379" s="10" t="s">
        <v>156</v>
      </c>
    </row>
    <row r="380" ht="12.75" customHeight="1">
      <c r="C380" s="71"/>
      <c r="D380" s="102"/>
      <c r="E380" s="3">
        <v>315.0</v>
      </c>
      <c r="F380" s="103"/>
      <c r="G380" s="10"/>
      <c r="H380" s="13"/>
      <c r="I380" s="10" t="s">
        <v>156</v>
      </c>
    </row>
    <row r="381" ht="12.75" customHeight="1">
      <c r="C381" s="71"/>
      <c r="D381" s="102"/>
      <c r="E381" s="3">
        <v>316.0</v>
      </c>
      <c r="F381" s="103"/>
      <c r="G381" s="10"/>
      <c r="H381" s="13"/>
      <c r="I381" s="10" t="s">
        <v>156</v>
      </c>
    </row>
    <row r="382" ht="12.75" customHeight="1">
      <c r="C382" s="71"/>
      <c r="D382" s="102"/>
      <c r="E382" s="3">
        <v>317.0</v>
      </c>
      <c r="F382" s="103"/>
      <c r="G382" s="10"/>
      <c r="H382" s="13"/>
      <c r="I382" s="10" t="s">
        <v>156</v>
      </c>
    </row>
    <row r="383" ht="12.75" customHeight="1">
      <c r="C383" s="71"/>
      <c r="D383" s="102"/>
      <c r="E383" s="3">
        <v>318.0</v>
      </c>
      <c r="F383" s="103"/>
      <c r="G383" s="10"/>
      <c r="H383" s="13"/>
      <c r="I383" s="10" t="s">
        <v>156</v>
      </c>
    </row>
    <row r="384" ht="12.75" customHeight="1">
      <c r="C384" s="71"/>
      <c r="D384" s="102"/>
      <c r="E384" s="3">
        <v>319.0</v>
      </c>
      <c r="F384" s="103"/>
      <c r="G384" s="10"/>
      <c r="H384" s="13"/>
      <c r="I384" s="10" t="s">
        <v>156</v>
      </c>
    </row>
    <row r="385" ht="12.75" customHeight="1">
      <c r="C385" s="71"/>
      <c r="D385" s="102"/>
      <c r="E385" s="3">
        <v>320.0</v>
      </c>
      <c r="F385" s="103"/>
      <c r="G385" s="10"/>
      <c r="H385" s="13"/>
      <c r="I385" s="10" t="s">
        <v>156</v>
      </c>
    </row>
    <row r="386" ht="12.75" customHeight="1">
      <c r="C386" s="71"/>
      <c r="D386" s="102"/>
      <c r="E386" s="3">
        <v>321.0</v>
      </c>
      <c r="F386" s="103"/>
      <c r="G386" s="10"/>
      <c r="H386" s="13"/>
      <c r="I386" s="10" t="s">
        <v>156</v>
      </c>
    </row>
    <row r="387" ht="12.75" customHeight="1">
      <c r="C387" s="71"/>
      <c r="D387" s="102"/>
      <c r="E387" s="3">
        <v>322.0</v>
      </c>
      <c r="F387" s="103"/>
      <c r="G387" s="10"/>
      <c r="H387" s="13"/>
      <c r="I387" s="10" t="s">
        <v>156</v>
      </c>
    </row>
    <row r="388" ht="12.75" customHeight="1">
      <c r="C388" s="71"/>
      <c r="D388" s="102"/>
      <c r="E388" s="3">
        <v>323.0</v>
      </c>
      <c r="F388" s="103"/>
      <c r="G388" s="10"/>
      <c r="H388" s="13"/>
      <c r="I388" s="10" t="s">
        <v>156</v>
      </c>
    </row>
    <row r="389" ht="12.75" customHeight="1">
      <c r="C389" s="71"/>
      <c r="D389" s="102"/>
      <c r="E389" s="3">
        <v>324.0</v>
      </c>
      <c r="F389" s="103"/>
      <c r="G389" s="10"/>
      <c r="H389" s="13"/>
      <c r="I389" s="10" t="s">
        <v>156</v>
      </c>
    </row>
    <row r="390" ht="12.75" customHeight="1">
      <c r="C390" s="71"/>
      <c r="D390" s="102"/>
      <c r="E390" s="3">
        <v>325.0</v>
      </c>
      <c r="F390" s="103"/>
      <c r="G390" s="10"/>
      <c r="H390" s="13"/>
      <c r="I390" s="10" t="s">
        <v>156</v>
      </c>
    </row>
    <row r="391" ht="12.75" customHeight="1">
      <c r="C391" s="71"/>
      <c r="D391" s="102"/>
      <c r="E391" s="3">
        <v>326.0</v>
      </c>
      <c r="F391" s="103"/>
      <c r="G391" s="10"/>
      <c r="H391" s="13"/>
      <c r="I391" s="10" t="s">
        <v>156</v>
      </c>
    </row>
    <row r="392" ht="12.75" customHeight="1">
      <c r="C392" s="71"/>
      <c r="D392" s="102"/>
      <c r="E392" s="3">
        <v>327.0</v>
      </c>
      <c r="F392" s="103"/>
      <c r="G392" s="10"/>
      <c r="H392" s="13"/>
      <c r="I392" s="10" t="s">
        <v>156</v>
      </c>
    </row>
    <row r="393" ht="12.75" customHeight="1">
      <c r="C393" s="71"/>
      <c r="D393" s="102"/>
      <c r="E393" s="3">
        <v>328.0</v>
      </c>
      <c r="F393" s="103"/>
      <c r="G393" s="10"/>
      <c r="H393" s="13"/>
      <c r="I393" s="10" t="s">
        <v>156</v>
      </c>
    </row>
    <row r="394" ht="12.75" customHeight="1">
      <c r="C394" s="71"/>
      <c r="D394" s="102"/>
      <c r="E394" s="3">
        <v>329.0</v>
      </c>
      <c r="F394" s="103"/>
      <c r="G394" s="10"/>
      <c r="H394" s="13"/>
      <c r="I394" s="10" t="s">
        <v>156</v>
      </c>
    </row>
    <row r="395" ht="12.75" customHeight="1">
      <c r="C395" s="71"/>
      <c r="D395" s="102"/>
      <c r="E395" s="3">
        <v>330.0</v>
      </c>
      <c r="F395" s="103"/>
      <c r="G395" s="10"/>
      <c r="H395" s="13"/>
      <c r="I395" s="10" t="s">
        <v>156</v>
      </c>
    </row>
    <row r="396" ht="12.75" customHeight="1">
      <c r="C396" s="71"/>
      <c r="D396" s="102"/>
      <c r="E396" s="3">
        <v>331.0</v>
      </c>
      <c r="F396" s="103"/>
      <c r="G396" s="10"/>
      <c r="H396" s="13"/>
      <c r="I396" s="10" t="s">
        <v>156</v>
      </c>
    </row>
    <row r="397" ht="12.75" customHeight="1">
      <c r="C397" s="71"/>
      <c r="D397" s="102"/>
      <c r="E397" s="3">
        <v>332.0</v>
      </c>
      <c r="F397" s="103"/>
      <c r="G397" s="10"/>
      <c r="H397" s="13"/>
      <c r="I397" s="10" t="s">
        <v>156</v>
      </c>
    </row>
    <row r="398" ht="12.75" customHeight="1">
      <c r="C398" s="71"/>
      <c r="D398" s="102"/>
      <c r="E398" s="3">
        <v>333.0</v>
      </c>
      <c r="F398" s="103"/>
      <c r="G398" s="10"/>
      <c r="H398" s="13"/>
      <c r="I398" s="10" t="s">
        <v>156</v>
      </c>
    </row>
    <row r="399" ht="12.75" customHeight="1">
      <c r="C399" s="71"/>
      <c r="D399" s="102"/>
      <c r="E399" s="3">
        <v>334.0</v>
      </c>
      <c r="F399" s="103"/>
      <c r="G399" s="10"/>
      <c r="H399" s="13"/>
      <c r="I399" s="10" t="s">
        <v>156</v>
      </c>
    </row>
    <row r="400" ht="12.75" customHeight="1">
      <c r="C400" s="71"/>
      <c r="D400" s="102"/>
      <c r="E400" s="3">
        <v>335.0</v>
      </c>
      <c r="F400" s="103"/>
      <c r="G400" s="10"/>
      <c r="H400" s="13"/>
      <c r="I400" s="10" t="s">
        <v>156</v>
      </c>
    </row>
    <row r="401" ht="12.75" customHeight="1">
      <c r="C401" s="71"/>
      <c r="D401" s="102"/>
      <c r="E401" s="3">
        <v>336.0</v>
      </c>
      <c r="F401" s="103"/>
      <c r="G401" s="10"/>
      <c r="H401" s="13"/>
      <c r="I401" s="10" t="s">
        <v>156</v>
      </c>
    </row>
    <row r="402" ht="12.75" customHeight="1">
      <c r="C402" s="71"/>
      <c r="D402" s="102"/>
      <c r="E402" s="3">
        <v>337.0</v>
      </c>
      <c r="F402" s="103"/>
      <c r="G402" s="10"/>
      <c r="H402" s="13"/>
      <c r="I402" s="10" t="s">
        <v>156</v>
      </c>
    </row>
    <row r="403" ht="12.75" customHeight="1">
      <c r="C403" s="71"/>
      <c r="D403" s="102"/>
      <c r="E403" s="3">
        <v>338.0</v>
      </c>
      <c r="F403" s="103"/>
      <c r="G403" s="10"/>
      <c r="H403" s="13"/>
      <c r="I403" s="10" t="s">
        <v>156</v>
      </c>
    </row>
    <row r="404" ht="12.75" customHeight="1">
      <c r="C404" s="71"/>
      <c r="D404" s="102"/>
      <c r="E404" s="3">
        <v>339.0</v>
      </c>
      <c r="F404" s="103"/>
      <c r="G404" s="10"/>
      <c r="H404" s="13"/>
      <c r="I404" s="10" t="s">
        <v>156</v>
      </c>
    </row>
    <row r="405" ht="12.75" customHeight="1">
      <c r="C405" s="71"/>
      <c r="D405" s="102"/>
      <c r="E405" s="3">
        <v>340.0</v>
      </c>
      <c r="F405" s="103"/>
      <c r="G405" s="10"/>
      <c r="H405" s="13"/>
      <c r="I405" s="10" t="s">
        <v>156</v>
      </c>
    </row>
    <row r="406" ht="12.75" customHeight="1">
      <c r="C406" s="71"/>
      <c r="D406" s="102"/>
      <c r="E406" s="3">
        <v>341.0</v>
      </c>
      <c r="F406" s="103"/>
      <c r="G406" s="10"/>
      <c r="H406" s="13"/>
      <c r="I406" s="10" t="s">
        <v>156</v>
      </c>
    </row>
    <row r="407" ht="12.75" customHeight="1">
      <c r="C407" s="71"/>
      <c r="D407" s="102"/>
      <c r="E407" s="3">
        <v>342.0</v>
      </c>
      <c r="F407" s="103"/>
      <c r="G407" s="10"/>
      <c r="H407" s="13"/>
      <c r="I407" s="10" t="s">
        <v>156</v>
      </c>
    </row>
    <row r="408" ht="12.75" customHeight="1">
      <c r="C408" s="71"/>
      <c r="D408" s="102"/>
      <c r="E408" s="3">
        <v>343.0</v>
      </c>
      <c r="F408" s="103"/>
      <c r="G408" s="10"/>
      <c r="H408" s="13"/>
      <c r="I408" s="10" t="s">
        <v>156</v>
      </c>
    </row>
    <row r="409" ht="12.75" customHeight="1">
      <c r="C409" s="71"/>
      <c r="D409" s="102"/>
      <c r="E409" s="3">
        <v>344.0</v>
      </c>
      <c r="F409" s="103"/>
      <c r="G409" s="10"/>
      <c r="H409" s="13"/>
      <c r="I409" s="10" t="s">
        <v>156</v>
      </c>
    </row>
    <row r="410" ht="12.75" customHeight="1">
      <c r="C410" s="71"/>
      <c r="D410" s="102"/>
      <c r="E410" s="3">
        <v>345.0</v>
      </c>
      <c r="F410" s="103"/>
      <c r="G410" s="10"/>
      <c r="H410" s="13"/>
      <c r="I410" s="10" t="s">
        <v>156</v>
      </c>
    </row>
    <row r="411" ht="12.75" customHeight="1">
      <c r="C411" s="71"/>
      <c r="D411" s="102"/>
      <c r="E411" s="3">
        <v>346.0</v>
      </c>
      <c r="F411" s="103"/>
      <c r="G411" s="10"/>
      <c r="H411" s="13"/>
      <c r="I411" s="10" t="s">
        <v>156</v>
      </c>
    </row>
    <row r="412" ht="12.75" customHeight="1">
      <c r="C412" s="71"/>
      <c r="D412" s="102"/>
      <c r="E412" s="3">
        <v>347.0</v>
      </c>
      <c r="F412" s="103"/>
      <c r="G412" s="10"/>
      <c r="H412" s="13"/>
      <c r="I412" s="10" t="s">
        <v>156</v>
      </c>
    </row>
    <row r="413" ht="12.75" customHeight="1">
      <c r="C413" s="71"/>
      <c r="D413" s="102"/>
      <c r="E413" s="3">
        <v>348.0</v>
      </c>
      <c r="F413" s="103"/>
      <c r="G413" s="10"/>
      <c r="H413" s="13"/>
      <c r="I413" s="10" t="s">
        <v>156</v>
      </c>
    </row>
    <row r="414" ht="12.75" customHeight="1">
      <c r="C414" s="71"/>
      <c r="D414" s="102"/>
      <c r="E414" s="3">
        <v>349.0</v>
      </c>
      <c r="F414" s="103"/>
      <c r="G414" s="10"/>
      <c r="H414" s="13"/>
      <c r="I414" s="10" t="s">
        <v>156</v>
      </c>
    </row>
    <row r="415" ht="12.75" customHeight="1">
      <c r="C415" s="71"/>
      <c r="D415" s="102"/>
      <c r="E415" s="3">
        <v>350.0</v>
      </c>
      <c r="F415" s="103"/>
      <c r="G415" s="10"/>
      <c r="H415" s="13"/>
      <c r="I415" s="10" t="s">
        <v>156</v>
      </c>
    </row>
    <row r="416" ht="12.75" customHeight="1">
      <c r="C416" s="71"/>
      <c r="D416" s="102"/>
      <c r="E416" s="3">
        <v>351.0</v>
      </c>
      <c r="F416" s="103"/>
      <c r="G416" s="10"/>
      <c r="H416" s="13"/>
      <c r="I416" s="10" t="s">
        <v>156</v>
      </c>
    </row>
    <row r="417" ht="12.75" customHeight="1">
      <c r="C417" s="71"/>
      <c r="D417" s="102"/>
      <c r="E417" s="3">
        <v>352.0</v>
      </c>
      <c r="F417" s="103"/>
      <c r="G417" s="10"/>
      <c r="H417" s="13"/>
      <c r="I417" s="10" t="s">
        <v>156</v>
      </c>
    </row>
    <row r="418" ht="12.75" customHeight="1">
      <c r="C418" s="71"/>
      <c r="D418" s="102"/>
      <c r="E418" s="3">
        <v>353.0</v>
      </c>
      <c r="F418" s="103"/>
      <c r="G418" s="10"/>
      <c r="H418" s="13"/>
      <c r="I418" s="10" t="s">
        <v>156</v>
      </c>
    </row>
    <row r="419" ht="12.75" customHeight="1">
      <c r="C419" s="71"/>
      <c r="D419" s="102"/>
      <c r="E419" s="3">
        <v>354.0</v>
      </c>
      <c r="F419" s="103"/>
      <c r="G419" s="10"/>
      <c r="H419" s="13"/>
      <c r="I419" s="10" t="s">
        <v>156</v>
      </c>
    </row>
    <row r="420" ht="12.75" customHeight="1">
      <c r="C420" s="71"/>
      <c r="D420" s="102"/>
      <c r="E420" s="3">
        <v>355.0</v>
      </c>
      <c r="F420" s="103"/>
      <c r="G420" s="10"/>
      <c r="H420" s="13"/>
      <c r="I420" s="10" t="s">
        <v>156</v>
      </c>
    </row>
    <row r="421" ht="12.75" customHeight="1">
      <c r="C421" s="71"/>
      <c r="D421" s="102"/>
      <c r="E421" s="3">
        <v>356.0</v>
      </c>
      <c r="F421" s="103"/>
      <c r="G421" s="10"/>
      <c r="H421" s="13"/>
      <c r="I421" s="10" t="s">
        <v>156</v>
      </c>
    </row>
    <row r="422" ht="12.75" customHeight="1">
      <c r="C422" s="71"/>
      <c r="D422" s="102"/>
      <c r="E422" s="3">
        <v>357.0</v>
      </c>
      <c r="F422" s="103"/>
      <c r="G422" s="10"/>
      <c r="H422" s="13"/>
      <c r="I422" s="10" t="s">
        <v>156</v>
      </c>
    </row>
    <row r="423" ht="12.75" customHeight="1">
      <c r="C423" s="71"/>
      <c r="D423" s="102"/>
      <c r="E423" s="3">
        <v>358.0</v>
      </c>
      <c r="F423" s="103"/>
      <c r="G423" s="10"/>
      <c r="H423" s="13"/>
      <c r="I423" s="10" t="s">
        <v>156</v>
      </c>
    </row>
    <row r="424" ht="12.75" customHeight="1">
      <c r="C424" s="71"/>
      <c r="D424" s="102"/>
      <c r="E424" s="3">
        <v>359.0</v>
      </c>
      <c r="F424" s="103"/>
      <c r="G424" s="10"/>
      <c r="H424" s="13"/>
      <c r="I424" s="10" t="s">
        <v>156</v>
      </c>
    </row>
    <row r="425" ht="12.75" customHeight="1">
      <c r="C425" s="71"/>
      <c r="D425" s="102"/>
      <c r="E425" s="3">
        <v>360.0</v>
      </c>
      <c r="F425" s="103"/>
      <c r="G425" s="10"/>
      <c r="H425" s="13"/>
      <c r="I425" s="10" t="s">
        <v>156</v>
      </c>
    </row>
    <row r="426" ht="12.75" customHeight="1">
      <c r="C426" s="71"/>
      <c r="D426" s="102"/>
      <c r="E426" s="3">
        <v>361.0</v>
      </c>
      <c r="F426" s="103"/>
      <c r="G426" s="10"/>
      <c r="H426" s="13"/>
      <c r="I426" s="10" t="s">
        <v>156</v>
      </c>
    </row>
    <row r="427" ht="12.75" customHeight="1">
      <c r="C427" s="71"/>
      <c r="D427" s="102"/>
      <c r="E427" s="3">
        <v>362.0</v>
      </c>
      <c r="F427" s="103"/>
      <c r="G427" s="10"/>
      <c r="H427" s="13"/>
      <c r="I427" s="10" t="s">
        <v>156</v>
      </c>
    </row>
    <row r="428" ht="12.75" customHeight="1">
      <c r="C428" s="71"/>
      <c r="D428" s="102"/>
      <c r="E428" s="3">
        <v>363.0</v>
      </c>
      <c r="F428" s="103"/>
      <c r="G428" s="10"/>
      <c r="H428" s="13"/>
      <c r="I428" s="10" t="s">
        <v>156</v>
      </c>
    </row>
    <row r="429" ht="12.75" customHeight="1">
      <c r="C429" s="71"/>
      <c r="D429" s="102"/>
      <c r="E429" s="3">
        <v>364.0</v>
      </c>
      <c r="F429" s="103"/>
      <c r="G429" s="10"/>
      <c r="H429" s="13"/>
      <c r="I429" s="10" t="s">
        <v>156</v>
      </c>
    </row>
    <row r="430" ht="12.75" customHeight="1">
      <c r="C430" s="71"/>
      <c r="D430" s="102"/>
      <c r="E430" s="3">
        <v>365.0</v>
      </c>
      <c r="F430" s="103"/>
      <c r="G430" s="10"/>
      <c r="H430" s="13"/>
      <c r="I430" s="10" t="s">
        <v>156</v>
      </c>
    </row>
    <row r="431" ht="12.75" customHeight="1">
      <c r="C431" s="71"/>
      <c r="D431" s="102"/>
      <c r="E431" s="3">
        <v>366.0</v>
      </c>
      <c r="F431" s="103"/>
      <c r="G431" s="10"/>
      <c r="H431" s="13"/>
      <c r="I431" s="10" t="s">
        <v>156</v>
      </c>
    </row>
    <row r="432" ht="12.75" customHeight="1">
      <c r="C432" s="71"/>
      <c r="D432" s="102"/>
      <c r="E432" s="3">
        <v>367.0</v>
      </c>
      <c r="F432" s="103"/>
      <c r="G432" s="10"/>
      <c r="H432" s="13"/>
      <c r="I432" s="10" t="s">
        <v>156</v>
      </c>
    </row>
    <row r="433" ht="12.75" customHeight="1">
      <c r="C433" s="71"/>
      <c r="D433" s="102"/>
      <c r="E433" s="3">
        <v>368.0</v>
      </c>
      <c r="F433" s="103"/>
      <c r="G433" s="10"/>
      <c r="H433" s="13"/>
      <c r="I433" s="10" t="s">
        <v>156</v>
      </c>
    </row>
    <row r="434" ht="12.75" customHeight="1">
      <c r="C434" s="71"/>
      <c r="D434" s="102"/>
      <c r="E434" s="3">
        <v>369.0</v>
      </c>
      <c r="F434" s="103"/>
      <c r="G434" s="10"/>
      <c r="H434" s="13"/>
      <c r="I434" s="10" t="s">
        <v>156</v>
      </c>
    </row>
    <row r="435" ht="12.75" customHeight="1">
      <c r="C435" s="71"/>
      <c r="D435" s="102"/>
      <c r="E435" s="3">
        <v>370.0</v>
      </c>
      <c r="F435" s="103"/>
      <c r="G435" s="10"/>
      <c r="H435" s="13"/>
      <c r="I435" s="10" t="s">
        <v>156</v>
      </c>
    </row>
    <row r="436" ht="12.75" customHeight="1">
      <c r="C436" s="71"/>
      <c r="D436" s="102"/>
      <c r="E436" s="3">
        <v>371.0</v>
      </c>
      <c r="F436" s="103"/>
      <c r="G436" s="10"/>
      <c r="H436" s="13"/>
      <c r="I436" s="10" t="s">
        <v>156</v>
      </c>
    </row>
    <row r="437" ht="12.75" customHeight="1">
      <c r="C437" s="71"/>
      <c r="D437" s="102"/>
      <c r="E437" s="3">
        <v>372.0</v>
      </c>
      <c r="F437" s="103"/>
      <c r="G437" s="10"/>
      <c r="H437" s="13"/>
      <c r="I437" s="10" t="s">
        <v>156</v>
      </c>
    </row>
    <row r="438" ht="12.75" customHeight="1">
      <c r="C438" s="71"/>
      <c r="D438" s="102"/>
      <c r="E438" s="3">
        <v>373.0</v>
      </c>
      <c r="F438" s="103"/>
      <c r="G438" s="10"/>
      <c r="H438" s="13"/>
      <c r="I438" s="10" t="s">
        <v>156</v>
      </c>
    </row>
    <row r="439" ht="12.75" customHeight="1">
      <c r="C439" s="71"/>
      <c r="D439" s="102"/>
      <c r="E439" s="3">
        <v>374.0</v>
      </c>
      <c r="F439" s="103"/>
      <c r="G439" s="10"/>
      <c r="H439" s="13"/>
      <c r="I439" s="10" t="s">
        <v>156</v>
      </c>
    </row>
    <row r="440" ht="12.75" customHeight="1">
      <c r="C440" s="71"/>
      <c r="D440" s="102"/>
      <c r="E440" s="3">
        <v>375.0</v>
      </c>
      <c r="F440" s="103"/>
      <c r="G440" s="10"/>
      <c r="H440" s="13"/>
      <c r="I440" s="10" t="s">
        <v>156</v>
      </c>
    </row>
    <row r="441" ht="12.75" customHeight="1">
      <c r="C441" s="71"/>
      <c r="D441" s="102"/>
      <c r="E441" s="3">
        <v>376.0</v>
      </c>
      <c r="F441" s="103"/>
      <c r="G441" s="10"/>
      <c r="H441" s="13"/>
      <c r="I441" s="10" t="s">
        <v>156</v>
      </c>
    </row>
    <row r="442" ht="12.75" customHeight="1">
      <c r="C442" s="71"/>
      <c r="D442" s="102"/>
      <c r="E442" s="3">
        <v>377.0</v>
      </c>
      <c r="F442" s="103"/>
      <c r="G442" s="10"/>
      <c r="H442" s="13"/>
      <c r="I442" s="10" t="s">
        <v>156</v>
      </c>
    </row>
    <row r="443" ht="12.75" customHeight="1">
      <c r="C443" s="71"/>
      <c r="D443" s="102"/>
      <c r="E443" s="3">
        <v>378.0</v>
      </c>
      <c r="F443" s="103"/>
      <c r="G443" s="10"/>
      <c r="H443" s="13"/>
      <c r="I443" s="10" t="s">
        <v>156</v>
      </c>
    </row>
    <row r="444" ht="12.75" customHeight="1">
      <c r="C444" s="71"/>
      <c r="D444" s="102"/>
      <c r="E444" s="3">
        <v>379.0</v>
      </c>
      <c r="F444" s="103"/>
      <c r="G444" s="10"/>
      <c r="H444" s="13"/>
      <c r="I444" s="10" t="s">
        <v>156</v>
      </c>
    </row>
    <row r="445" ht="12.75" customHeight="1">
      <c r="C445" s="71"/>
      <c r="D445" s="102"/>
      <c r="E445" s="3">
        <v>380.0</v>
      </c>
      <c r="F445" s="103"/>
      <c r="G445" s="10"/>
      <c r="H445" s="13"/>
      <c r="I445" s="10" t="s">
        <v>156</v>
      </c>
    </row>
    <row r="446" ht="12.75" customHeight="1">
      <c r="C446" s="71"/>
      <c r="D446" s="102"/>
      <c r="E446" s="3">
        <v>381.0</v>
      </c>
      <c r="F446" s="103"/>
      <c r="G446" s="10"/>
      <c r="H446" s="13"/>
      <c r="I446" s="10" t="s">
        <v>156</v>
      </c>
    </row>
    <row r="447" ht="12.75" customHeight="1">
      <c r="C447" s="71"/>
      <c r="D447" s="102"/>
      <c r="E447" s="3">
        <v>382.0</v>
      </c>
      <c r="F447" s="103"/>
      <c r="G447" s="10"/>
      <c r="H447" s="13"/>
      <c r="I447" s="10" t="s">
        <v>156</v>
      </c>
    </row>
    <row r="448" ht="12.75" customHeight="1">
      <c r="C448" s="71"/>
      <c r="D448" s="102"/>
      <c r="E448" s="3">
        <v>383.0</v>
      </c>
      <c r="F448" s="103"/>
      <c r="G448" s="10"/>
      <c r="H448" s="13"/>
      <c r="I448" s="10" t="s">
        <v>156</v>
      </c>
    </row>
    <row r="449" ht="12.75" customHeight="1">
      <c r="C449" s="71"/>
      <c r="D449" s="102"/>
      <c r="E449" s="3">
        <v>384.0</v>
      </c>
      <c r="F449" s="103"/>
      <c r="G449" s="10"/>
      <c r="H449" s="13"/>
      <c r="I449" s="10" t="s">
        <v>156</v>
      </c>
    </row>
    <row r="450" ht="12.75" customHeight="1">
      <c r="C450" s="71"/>
      <c r="D450" s="102"/>
      <c r="E450" s="3">
        <v>385.0</v>
      </c>
      <c r="F450" s="103"/>
      <c r="G450" s="10"/>
      <c r="H450" s="13"/>
      <c r="I450" s="10" t="s">
        <v>156</v>
      </c>
    </row>
    <row r="451" ht="12.75" customHeight="1">
      <c r="C451" s="71"/>
      <c r="D451" s="102"/>
      <c r="E451" s="3">
        <v>386.0</v>
      </c>
      <c r="F451" s="103"/>
      <c r="G451" s="10"/>
      <c r="H451" s="13"/>
      <c r="I451" s="10" t="s">
        <v>156</v>
      </c>
    </row>
    <row r="452" ht="12.75" customHeight="1">
      <c r="C452" s="71"/>
      <c r="D452" s="102"/>
      <c r="E452" s="3">
        <v>387.0</v>
      </c>
      <c r="F452" s="103"/>
      <c r="G452" s="10"/>
      <c r="H452" s="13"/>
      <c r="I452" s="10" t="s">
        <v>156</v>
      </c>
    </row>
    <row r="453" ht="12.75" customHeight="1">
      <c r="C453" s="71"/>
      <c r="D453" s="102"/>
      <c r="E453" s="3">
        <v>388.0</v>
      </c>
      <c r="F453" s="103"/>
      <c r="G453" s="10"/>
      <c r="H453" s="13"/>
      <c r="I453" s="10" t="s">
        <v>156</v>
      </c>
    </row>
    <row r="454" ht="12.75" customHeight="1">
      <c r="C454" s="71"/>
      <c r="D454" s="102"/>
      <c r="E454" s="3">
        <v>389.0</v>
      </c>
      <c r="F454" s="103"/>
      <c r="G454" s="10"/>
      <c r="H454" s="13"/>
      <c r="I454" s="10" t="s">
        <v>156</v>
      </c>
    </row>
    <row r="455" ht="12.75" customHeight="1">
      <c r="C455" s="71"/>
      <c r="D455" s="102"/>
      <c r="E455" s="3">
        <v>390.0</v>
      </c>
      <c r="F455" s="103"/>
      <c r="G455" s="10"/>
      <c r="H455" s="13"/>
      <c r="I455" s="10" t="s">
        <v>156</v>
      </c>
    </row>
    <row r="456" ht="12.75" customHeight="1">
      <c r="C456" s="71"/>
      <c r="D456" s="102"/>
      <c r="E456" s="3">
        <v>391.0</v>
      </c>
      <c r="F456" s="103"/>
      <c r="G456" s="10"/>
      <c r="H456" s="13"/>
      <c r="I456" s="10" t="s">
        <v>156</v>
      </c>
    </row>
    <row r="457" ht="12.75" customHeight="1">
      <c r="C457" s="71"/>
      <c r="D457" s="102"/>
      <c r="E457" s="3">
        <v>392.0</v>
      </c>
      <c r="F457" s="103"/>
      <c r="G457" s="10"/>
      <c r="H457" s="13"/>
      <c r="I457" s="10" t="s">
        <v>156</v>
      </c>
    </row>
    <row r="458" ht="12.75" customHeight="1">
      <c r="C458" s="71"/>
      <c r="D458" s="102"/>
      <c r="E458" s="3">
        <v>393.0</v>
      </c>
      <c r="F458" s="103"/>
      <c r="G458" s="10"/>
      <c r="H458" s="13"/>
      <c r="I458" s="10" t="s">
        <v>156</v>
      </c>
    </row>
    <row r="459" ht="12.75" customHeight="1">
      <c r="C459" s="71"/>
      <c r="D459" s="102"/>
      <c r="E459" s="3">
        <v>394.0</v>
      </c>
      <c r="F459" s="103"/>
      <c r="G459" s="10"/>
      <c r="H459" s="13"/>
      <c r="I459" s="10" t="s">
        <v>156</v>
      </c>
    </row>
    <row r="460" ht="12.75" customHeight="1">
      <c r="C460" s="71"/>
      <c r="D460" s="102"/>
      <c r="E460" s="3">
        <v>395.0</v>
      </c>
      <c r="F460" s="103"/>
      <c r="G460" s="10"/>
      <c r="H460" s="13"/>
      <c r="I460" s="10" t="s">
        <v>156</v>
      </c>
    </row>
    <row r="461" ht="12.75" customHeight="1">
      <c r="C461" s="71"/>
      <c r="D461" s="102"/>
      <c r="E461" s="3">
        <v>396.0</v>
      </c>
      <c r="F461" s="103"/>
      <c r="G461" s="10"/>
      <c r="H461" s="13"/>
      <c r="I461" s="10" t="s">
        <v>156</v>
      </c>
    </row>
    <row r="462" ht="12.75" customHeight="1">
      <c r="C462" s="71"/>
      <c r="D462" s="102"/>
      <c r="E462" s="3">
        <v>397.0</v>
      </c>
      <c r="F462" s="103"/>
      <c r="G462" s="10"/>
      <c r="H462" s="13"/>
      <c r="I462" s="10" t="s">
        <v>156</v>
      </c>
    </row>
    <row r="463" ht="12.75" customHeight="1">
      <c r="C463" s="71"/>
      <c r="D463" s="102"/>
      <c r="E463" s="3">
        <v>398.0</v>
      </c>
      <c r="F463" s="103"/>
      <c r="G463" s="10"/>
      <c r="H463" s="13"/>
      <c r="I463" s="10" t="s">
        <v>156</v>
      </c>
    </row>
    <row r="464" ht="12.75" customHeight="1">
      <c r="C464" s="71"/>
      <c r="D464" s="102"/>
      <c r="E464" s="3">
        <v>399.0</v>
      </c>
      <c r="F464" s="103"/>
      <c r="G464" s="10"/>
      <c r="H464" s="13"/>
      <c r="I464" s="10" t="s">
        <v>156</v>
      </c>
    </row>
    <row r="465" ht="12.75" customHeight="1">
      <c r="C465" s="71"/>
      <c r="D465" s="102"/>
      <c r="E465" s="3">
        <v>400.0</v>
      </c>
      <c r="F465" s="103"/>
      <c r="G465" s="10"/>
      <c r="H465" s="13"/>
      <c r="I465" s="10" t="s">
        <v>156</v>
      </c>
    </row>
    <row r="466" ht="12.75" customHeight="1">
      <c r="C466" s="71"/>
      <c r="D466" s="102"/>
      <c r="E466" s="3">
        <v>401.0</v>
      </c>
      <c r="F466" s="103"/>
      <c r="G466" s="10"/>
      <c r="H466" s="13"/>
      <c r="I466" s="10" t="s">
        <v>156</v>
      </c>
    </row>
    <row r="467" ht="12.75" customHeight="1">
      <c r="C467" s="71"/>
      <c r="D467" s="102"/>
      <c r="E467" s="3">
        <v>402.0</v>
      </c>
      <c r="F467" s="103"/>
      <c r="G467" s="10"/>
      <c r="H467" s="13"/>
      <c r="I467" s="10" t="s">
        <v>156</v>
      </c>
    </row>
    <row r="468" ht="12.75" customHeight="1">
      <c r="C468" s="71"/>
      <c r="D468" s="102"/>
      <c r="E468" s="3">
        <v>403.0</v>
      </c>
      <c r="F468" s="103"/>
      <c r="G468" s="10"/>
      <c r="H468" s="13"/>
      <c r="I468" s="10" t="s">
        <v>156</v>
      </c>
    </row>
    <row r="469" ht="12.75" customHeight="1">
      <c r="C469" s="71"/>
      <c r="D469" s="102"/>
      <c r="E469" s="3">
        <v>404.0</v>
      </c>
      <c r="F469" s="103"/>
      <c r="G469" s="10"/>
      <c r="H469" s="13"/>
      <c r="I469" s="10" t="s">
        <v>156</v>
      </c>
    </row>
    <row r="470" ht="12.75" customHeight="1">
      <c r="C470" s="71"/>
      <c r="D470" s="102"/>
      <c r="E470" s="3">
        <v>405.0</v>
      </c>
      <c r="F470" s="103"/>
      <c r="G470" s="10"/>
      <c r="H470" s="13"/>
      <c r="I470" s="10" t="s">
        <v>156</v>
      </c>
    </row>
    <row r="471" ht="12.75" customHeight="1">
      <c r="C471" s="71"/>
      <c r="D471" s="102"/>
      <c r="E471" s="3">
        <v>406.0</v>
      </c>
      <c r="F471" s="103"/>
      <c r="G471" s="10"/>
      <c r="H471" s="13"/>
      <c r="I471" s="10" t="s">
        <v>156</v>
      </c>
    </row>
    <row r="472" ht="12.75" customHeight="1">
      <c r="C472" s="71"/>
      <c r="D472" s="102"/>
      <c r="E472" s="3">
        <v>407.0</v>
      </c>
      <c r="F472" s="103"/>
      <c r="G472" s="10"/>
      <c r="H472" s="13"/>
      <c r="I472" s="10" t="s">
        <v>156</v>
      </c>
    </row>
    <row r="473" ht="12.75" customHeight="1">
      <c r="C473" s="71"/>
      <c r="D473" s="102"/>
      <c r="E473" s="3">
        <v>408.0</v>
      </c>
      <c r="F473" s="103"/>
      <c r="G473" s="10"/>
      <c r="H473" s="13"/>
      <c r="I473" s="10" t="s">
        <v>156</v>
      </c>
    </row>
    <row r="474" ht="12.75" customHeight="1">
      <c r="C474" s="71"/>
      <c r="D474" s="102"/>
      <c r="E474" s="3">
        <v>409.0</v>
      </c>
      <c r="F474" s="103"/>
      <c r="G474" s="10"/>
      <c r="H474" s="13"/>
      <c r="I474" s="10" t="s">
        <v>156</v>
      </c>
    </row>
    <row r="475" ht="12.75" customHeight="1">
      <c r="C475" s="71"/>
      <c r="D475" s="102"/>
      <c r="E475" s="3">
        <v>410.0</v>
      </c>
      <c r="F475" s="103"/>
      <c r="G475" s="10"/>
      <c r="H475" s="13"/>
      <c r="I475" s="10" t="s">
        <v>156</v>
      </c>
    </row>
    <row r="476" ht="12.75" customHeight="1">
      <c r="C476" s="71"/>
      <c r="D476" s="102"/>
      <c r="E476" s="3">
        <v>411.0</v>
      </c>
      <c r="F476" s="103"/>
      <c r="G476" s="10"/>
      <c r="H476" s="13"/>
      <c r="I476" s="10" t="s">
        <v>156</v>
      </c>
    </row>
    <row r="477" ht="12.75" customHeight="1">
      <c r="C477" s="71"/>
      <c r="D477" s="102"/>
      <c r="E477" s="3">
        <v>412.0</v>
      </c>
      <c r="F477" s="103"/>
      <c r="G477" s="10"/>
      <c r="H477" s="13"/>
      <c r="I477" s="10" t="s">
        <v>156</v>
      </c>
    </row>
    <row r="478" ht="12.75" customHeight="1">
      <c r="C478" s="71"/>
      <c r="D478" s="102"/>
      <c r="E478" s="3">
        <v>413.0</v>
      </c>
      <c r="F478" s="103"/>
      <c r="G478" s="10"/>
      <c r="H478" s="13"/>
      <c r="I478" s="10" t="s">
        <v>156</v>
      </c>
    </row>
    <row r="479" ht="12.75" customHeight="1">
      <c r="C479" s="71"/>
      <c r="D479" s="102"/>
      <c r="E479" s="3">
        <v>414.0</v>
      </c>
      <c r="F479" s="103"/>
      <c r="G479" s="10"/>
      <c r="H479" s="13"/>
      <c r="I479" s="10" t="s">
        <v>156</v>
      </c>
    </row>
    <row r="480" ht="12.75" customHeight="1">
      <c r="C480" s="71"/>
      <c r="D480" s="102"/>
      <c r="E480" s="3">
        <v>415.0</v>
      </c>
      <c r="F480" s="103"/>
      <c r="G480" s="10"/>
      <c r="H480" s="13"/>
      <c r="I480" s="10" t="s">
        <v>156</v>
      </c>
    </row>
    <row r="481" ht="12.75" customHeight="1">
      <c r="C481" s="71"/>
      <c r="D481" s="102"/>
      <c r="E481" s="3">
        <v>416.0</v>
      </c>
      <c r="F481" s="103"/>
      <c r="G481" s="10"/>
      <c r="H481" s="13"/>
      <c r="I481" s="10" t="s">
        <v>156</v>
      </c>
    </row>
    <row r="482" ht="12.75" customHeight="1">
      <c r="C482" s="71"/>
      <c r="D482" s="102"/>
      <c r="E482" s="3">
        <v>417.0</v>
      </c>
      <c r="F482" s="103"/>
      <c r="G482" s="10"/>
      <c r="H482" s="13"/>
      <c r="I482" s="10" t="s">
        <v>156</v>
      </c>
    </row>
    <row r="483" ht="12.75" customHeight="1">
      <c r="C483" s="71"/>
      <c r="D483" s="102"/>
      <c r="E483" s="3">
        <v>418.0</v>
      </c>
      <c r="F483" s="103"/>
      <c r="G483" s="10"/>
      <c r="H483" s="13"/>
      <c r="I483" s="10" t="s">
        <v>156</v>
      </c>
    </row>
    <row r="484" ht="12.75" customHeight="1">
      <c r="C484" s="71"/>
      <c r="D484" s="102"/>
      <c r="E484" s="3">
        <v>419.0</v>
      </c>
      <c r="F484" s="103"/>
      <c r="G484" s="10"/>
      <c r="H484" s="13"/>
      <c r="I484" s="10" t="s">
        <v>156</v>
      </c>
    </row>
    <row r="485" ht="12.75" customHeight="1">
      <c r="C485" s="71"/>
      <c r="D485" s="102"/>
      <c r="E485" s="3">
        <v>420.0</v>
      </c>
      <c r="F485" s="103"/>
      <c r="G485" s="10"/>
      <c r="H485" s="13"/>
      <c r="I485" s="10" t="s">
        <v>156</v>
      </c>
    </row>
    <row r="486" ht="12.75" customHeight="1">
      <c r="C486" s="71"/>
      <c r="D486" s="102"/>
      <c r="E486" s="3">
        <v>421.0</v>
      </c>
      <c r="F486" s="103"/>
      <c r="G486" s="10"/>
      <c r="H486" s="13"/>
      <c r="I486" s="10" t="s">
        <v>156</v>
      </c>
    </row>
    <row r="487" ht="12.75" customHeight="1">
      <c r="C487" s="71"/>
      <c r="D487" s="102"/>
      <c r="E487" s="3">
        <v>422.0</v>
      </c>
      <c r="F487" s="103"/>
      <c r="G487" s="10"/>
      <c r="H487" s="13"/>
      <c r="I487" s="10" t="s">
        <v>156</v>
      </c>
    </row>
    <row r="488" ht="12.75" customHeight="1">
      <c r="C488" s="71"/>
      <c r="D488" s="102"/>
      <c r="E488" s="3">
        <v>423.0</v>
      </c>
      <c r="F488" s="103"/>
      <c r="G488" s="10"/>
      <c r="H488" s="13"/>
      <c r="I488" s="10" t="s">
        <v>156</v>
      </c>
    </row>
    <row r="489" ht="12.75" customHeight="1">
      <c r="C489" s="71"/>
      <c r="D489" s="102"/>
      <c r="E489" s="3">
        <v>424.0</v>
      </c>
      <c r="F489" s="103"/>
      <c r="G489" s="10"/>
      <c r="H489" s="13"/>
      <c r="I489" s="10" t="s">
        <v>156</v>
      </c>
    </row>
    <row r="490" ht="12.75" customHeight="1">
      <c r="C490" s="71"/>
      <c r="D490" s="102"/>
      <c r="E490" s="3">
        <v>425.0</v>
      </c>
      <c r="F490" s="103"/>
      <c r="G490" s="10"/>
      <c r="H490" s="13"/>
      <c r="I490" s="10" t="s">
        <v>156</v>
      </c>
    </row>
    <row r="491" ht="12.75" customHeight="1">
      <c r="C491" s="71"/>
      <c r="D491" s="102"/>
      <c r="E491" s="3">
        <v>426.0</v>
      </c>
      <c r="F491" s="103"/>
      <c r="G491" s="10"/>
      <c r="H491" s="13"/>
      <c r="I491" s="10" t="s">
        <v>156</v>
      </c>
    </row>
    <row r="492" ht="12.75" customHeight="1">
      <c r="C492" s="71"/>
      <c r="D492" s="102"/>
      <c r="E492" s="3">
        <v>427.0</v>
      </c>
      <c r="F492" s="103"/>
      <c r="G492" s="10"/>
      <c r="H492" s="13"/>
      <c r="I492" s="10" t="s">
        <v>156</v>
      </c>
    </row>
    <row r="493" ht="12.75" customHeight="1">
      <c r="C493" s="71"/>
      <c r="D493" s="102"/>
      <c r="E493" s="3">
        <v>428.0</v>
      </c>
      <c r="F493" s="103"/>
      <c r="G493" s="10"/>
      <c r="H493" s="13"/>
      <c r="I493" s="10" t="s">
        <v>156</v>
      </c>
    </row>
    <row r="494" ht="12.75" customHeight="1">
      <c r="C494" s="71"/>
      <c r="D494" s="102"/>
      <c r="E494" s="3">
        <v>429.0</v>
      </c>
      <c r="F494" s="103"/>
      <c r="G494" s="10"/>
      <c r="H494" s="13"/>
      <c r="I494" s="10" t="s">
        <v>156</v>
      </c>
    </row>
    <row r="495" ht="12.75" customHeight="1">
      <c r="C495" s="71"/>
      <c r="D495" s="102"/>
      <c r="E495" s="3">
        <v>430.0</v>
      </c>
      <c r="F495" s="103"/>
      <c r="G495" s="10"/>
      <c r="H495" s="13"/>
      <c r="I495" s="10" t="s">
        <v>156</v>
      </c>
    </row>
    <row r="496" ht="12.75" customHeight="1">
      <c r="C496" s="71"/>
      <c r="D496" s="102"/>
      <c r="E496" s="3">
        <v>431.0</v>
      </c>
      <c r="F496" s="103"/>
      <c r="G496" s="10"/>
      <c r="H496" s="13"/>
      <c r="I496" s="10" t="s">
        <v>156</v>
      </c>
    </row>
    <row r="497" ht="12.75" customHeight="1">
      <c r="C497" s="71"/>
      <c r="D497" s="102"/>
      <c r="E497" s="3">
        <v>432.0</v>
      </c>
      <c r="F497" s="103"/>
      <c r="G497" s="10"/>
      <c r="H497" s="13"/>
      <c r="I497" s="10" t="s">
        <v>156</v>
      </c>
    </row>
    <row r="498" ht="12.75" customHeight="1">
      <c r="C498" s="71"/>
      <c r="D498" s="102"/>
      <c r="E498" s="3">
        <v>433.0</v>
      </c>
      <c r="F498" s="103"/>
      <c r="G498" s="10"/>
      <c r="H498" s="13"/>
      <c r="I498" s="10" t="s">
        <v>156</v>
      </c>
    </row>
    <row r="499" ht="12.75" customHeight="1">
      <c r="C499" s="71"/>
      <c r="D499" s="102"/>
      <c r="E499" s="3">
        <v>434.0</v>
      </c>
      <c r="F499" s="103"/>
      <c r="G499" s="10"/>
      <c r="H499" s="13"/>
      <c r="I499" s="10" t="s">
        <v>156</v>
      </c>
    </row>
    <row r="500" ht="12.75" customHeight="1">
      <c r="C500" s="71"/>
      <c r="D500" s="102"/>
      <c r="E500" s="3">
        <v>435.0</v>
      </c>
      <c r="F500" s="103"/>
      <c r="G500" s="10"/>
      <c r="H500" s="13"/>
      <c r="I500" s="10" t="s">
        <v>156</v>
      </c>
    </row>
    <row r="501" ht="12.75" customHeight="1">
      <c r="C501" s="71"/>
      <c r="D501" s="102"/>
      <c r="E501" s="3">
        <v>436.0</v>
      </c>
      <c r="F501" s="103"/>
      <c r="G501" s="10"/>
      <c r="H501" s="13"/>
      <c r="I501" s="10" t="s">
        <v>156</v>
      </c>
    </row>
    <row r="502" ht="12.75" customHeight="1">
      <c r="C502" s="71"/>
      <c r="D502" s="102"/>
      <c r="E502" s="3">
        <v>437.0</v>
      </c>
      <c r="F502" s="103"/>
      <c r="G502" s="10"/>
      <c r="H502" s="13"/>
      <c r="I502" s="10" t="s">
        <v>156</v>
      </c>
    </row>
    <row r="503" ht="12.75" customHeight="1">
      <c r="C503" s="71"/>
      <c r="D503" s="102"/>
      <c r="E503" s="3">
        <v>438.0</v>
      </c>
      <c r="F503" s="103"/>
      <c r="G503" s="10"/>
      <c r="H503" s="13"/>
      <c r="I503" s="10" t="s">
        <v>156</v>
      </c>
    </row>
    <row r="504" ht="12.75" customHeight="1">
      <c r="C504" s="71"/>
      <c r="D504" s="102"/>
      <c r="E504" s="3">
        <v>439.0</v>
      </c>
      <c r="F504" s="103"/>
      <c r="G504" s="10"/>
      <c r="H504" s="13"/>
      <c r="I504" s="10" t="s">
        <v>156</v>
      </c>
    </row>
    <row r="505" ht="12.75" customHeight="1">
      <c r="C505" s="71"/>
      <c r="D505" s="102"/>
      <c r="E505" s="3">
        <v>440.0</v>
      </c>
      <c r="F505" s="103"/>
      <c r="G505" s="10"/>
      <c r="H505" s="13"/>
      <c r="I505" s="10" t="s">
        <v>156</v>
      </c>
    </row>
    <row r="506" ht="12.75" customHeight="1">
      <c r="C506" s="71"/>
      <c r="D506" s="102"/>
      <c r="E506" s="3">
        <v>441.0</v>
      </c>
      <c r="F506" s="103"/>
      <c r="G506" s="10"/>
      <c r="H506" s="13"/>
      <c r="I506" s="10" t="s">
        <v>156</v>
      </c>
    </row>
    <row r="507" ht="12.75" customHeight="1">
      <c r="C507" s="71"/>
      <c r="D507" s="102"/>
      <c r="E507" s="3">
        <v>442.0</v>
      </c>
      <c r="F507" s="103"/>
      <c r="G507" s="10"/>
      <c r="H507" s="13"/>
      <c r="I507" s="10" t="s">
        <v>156</v>
      </c>
    </row>
    <row r="508" ht="12.75" customHeight="1">
      <c r="C508" s="71"/>
      <c r="D508" s="102"/>
      <c r="E508" s="3">
        <v>443.0</v>
      </c>
      <c r="F508" s="103"/>
      <c r="G508" s="10"/>
      <c r="H508" s="13"/>
      <c r="I508" s="10" t="s">
        <v>156</v>
      </c>
    </row>
    <row r="509" ht="12.75" customHeight="1">
      <c r="C509" s="71"/>
      <c r="D509" s="102"/>
      <c r="E509" s="3">
        <v>444.0</v>
      </c>
      <c r="F509" s="103"/>
      <c r="G509" s="10"/>
      <c r="H509" s="13"/>
      <c r="I509" s="10" t="s">
        <v>156</v>
      </c>
    </row>
    <row r="510" ht="12.75" customHeight="1">
      <c r="C510" s="71"/>
      <c r="D510" s="102"/>
      <c r="E510" s="3">
        <v>445.0</v>
      </c>
      <c r="F510" s="103"/>
      <c r="G510" s="10"/>
      <c r="H510" s="13"/>
      <c r="I510" s="10" t="s">
        <v>156</v>
      </c>
    </row>
    <row r="511" ht="12.75" customHeight="1">
      <c r="C511" s="71"/>
      <c r="D511" s="102"/>
      <c r="E511" s="3">
        <v>446.0</v>
      </c>
      <c r="F511" s="103"/>
      <c r="G511" s="10"/>
      <c r="H511" s="13"/>
      <c r="I511" s="10" t="s">
        <v>156</v>
      </c>
    </row>
    <row r="512" ht="12.75" customHeight="1">
      <c r="C512" s="71"/>
      <c r="D512" s="102"/>
      <c r="E512" s="3">
        <v>447.0</v>
      </c>
      <c r="F512" s="103"/>
      <c r="G512" s="10"/>
      <c r="H512" s="13"/>
      <c r="I512" s="10" t="s">
        <v>156</v>
      </c>
    </row>
    <row r="513" ht="12.75" customHeight="1">
      <c r="C513" s="71"/>
      <c r="D513" s="102"/>
      <c r="E513" s="3">
        <v>448.0</v>
      </c>
      <c r="F513" s="103"/>
      <c r="G513" s="10"/>
      <c r="H513" s="13"/>
      <c r="I513" s="10" t="s">
        <v>156</v>
      </c>
    </row>
    <row r="514" ht="12.75" customHeight="1">
      <c r="C514" s="71"/>
      <c r="D514" s="102"/>
      <c r="E514" s="3">
        <v>449.0</v>
      </c>
      <c r="F514" s="103"/>
      <c r="G514" s="10"/>
      <c r="H514" s="13"/>
      <c r="I514" s="10" t="s">
        <v>156</v>
      </c>
    </row>
    <row r="515" ht="12.75" customHeight="1">
      <c r="C515" s="71"/>
      <c r="D515" s="102"/>
      <c r="E515" s="3">
        <v>450.0</v>
      </c>
      <c r="F515" s="103"/>
      <c r="G515" s="10"/>
      <c r="H515" s="13"/>
      <c r="I515" s="10" t="s">
        <v>156</v>
      </c>
    </row>
    <row r="516" ht="12.75" customHeight="1">
      <c r="C516" s="71"/>
      <c r="D516" s="102"/>
      <c r="E516" s="3">
        <v>451.0</v>
      </c>
      <c r="F516" s="103"/>
      <c r="G516" s="10"/>
      <c r="H516" s="13"/>
      <c r="I516" s="10" t="s">
        <v>156</v>
      </c>
    </row>
    <row r="517" ht="12.75" customHeight="1">
      <c r="C517" s="71"/>
      <c r="D517" s="102"/>
      <c r="E517" s="3">
        <v>452.0</v>
      </c>
      <c r="F517" s="103"/>
      <c r="G517" s="10"/>
      <c r="H517" s="13"/>
      <c r="I517" s="10" t="s">
        <v>156</v>
      </c>
    </row>
    <row r="518" ht="12.75" customHeight="1">
      <c r="C518" s="71"/>
      <c r="D518" s="102"/>
      <c r="E518" s="3">
        <v>453.0</v>
      </c>
      <c r="F518" s="103"/>
      <c r="G518" s="10"/>
      <c r="H518" s="13"/>
      <c r="I518" s="10" t="s">
        <v>156</v>
      </c>
    </row>
    <row r="519" ht="12.75" customHeight="1">
      <c r="C519" s="71"/>
      <c r="D519" s="102"/>
      <c r="E519" s="3">
        <v>454.0</v>
      </c>
      <c r="F519" s="103"/>
      <c r="G519" s="10"/>
      <c r="H519" s="13"/>
      <c r="I519" s="10" t="s">
        <v>156</v>
      </c>
    </row>
    <row r="520" ht="12.75" customHeight="1">
      <c r="C520" s="71"/>
      <c r="D520" s="102"/>
      <c r="E520" s="3">
        <v>455.0</v>
      </c>
      <c r="F520" s="103"/>
      <c r="G520" s="10"/>
      <c r="H520" s="13"/>
      <c r="I520" s="10" t="s">
        <v>156</v>
      </c>
    </row>
    <row r="521" ht="12.75" customHeight="1">
      <c r="C521" s="71"/>
      <c r="D521" s="102"/>
      <c r="E521" s="3">
        <v>456.0</v>
      </c>
      <c r="F521" s="103"/>
      <c r="G521" s="10"/>
      <c r="H521" s="13"/>
      <c r="I521" s="10" t="s">
        <v>156</v>
      </c>
    </row>
    <row r="522" ht="12.75" customHeight="1">
      <c r="C522" s="71"/>
      <c r="D522" s="102"/>
      <c r="E522" s="3">
        <v>457.0</v>
      </c>
      <c r="F522" s="103"/>
      <c r="G522" s="10"/>
      <c r="H522" s="13"/>
      <c r="I522" s="10" t="s">
        <v>156</v>
      </c>
    </row>
    <row r="523" ht="12.75" customHeight="1">
      <c r="C523" s="71"/>
      <c r="D523" s="102"/>
      <c r="E523" s="3">
        <v>458.0</v>
      </c>
      <c r="F523" s="103"/>
      <c r="G523" s="10"/>
      <c r="H523" s="13"/>
      <c r="I523" s="10" t="s">
        <v>156</v>
      </c>
    </row>
    <row r="524" ht="12.75" customHeight="1">
      <c r="C524" s="71"/>
      <c r="D524" s="102"/>
      <c r="E524" s="3">
        <v>459.0</v>
      </c>
      <c r="F524" s="103"/>
      <c r="G524" s="10"/>
      <c r="H524" s="13"/>
      <c r="I524" s="10" t="s">
        <v>156</v>
      </c>
    </row>
    <row r="525" ht="12.75" customHeight="1">
      <c r="C525" s="71"/>
      <c r="D525" s="102"/>
      <c r="E525" s="3">
        <v>460.0</v>
      </c>
      <c r="F525" s="103"/>
      <c r="G525" s="10"/>
      <c r="H525" s="13"/>
      <c r="I525" s="10" t="s">
        <v>156</v>
      </c>
    </row>
    <row r="526" ht="12.75" customHeight="1">
      <c r="C526" s="71"/>
      <c r="D526" s="102"/>
      <c r="E526" s="3">
        <v>461.0</v>
      </c>
      <c r="F526" s="103"/>
      <c r="G526" s="10"/>
      <c r="H526" s="13"/>
      <c r="I526" s="10" t="s">
        <v>156</v>
      </c>
    </row>
    <row r="527" ht="12.75" customHeight="1">
      <c r="C527" s="71"/>
      <c r="D527" s="102"/>
      <c r="E527" s="3">
        <v>462.0</v>
      </c>
      <c r="F527" s="103"/>
      <c r="G527" s="10"/>
      <c r="H527" s="13"/>
      <c r="I527" s="10" t="s">
        <v>156</v>
      </c>
    </row>
    <row r="528" ht="12.75" customHeight="1">
      <c r="C528" s="71"/>
      <c r="D528" s="102"/>
      <c r="E528" s="3">
        <v>463.0</v>
      </c>
      <c r="F528" s="103"/>
      <c r="G528" s="10"/>
      <c r="H528" s="13"/>
      <c r="I528" s="10" t="s">
        <v>156</v>
      </c>
    </row>
    <row r="529" ht="12.75" customHeight="1">
      <c r="C529" s="71"/>
      <c r="D529" s="102"/>
      <c r="E529" s="3">
        <v>464.0</v>
      </c>
      <c r="F529" s="103"/>
      <c r="G529" s="10"/>
      <c r="H529" s="13"/>
      <c r="I529" s="10" t="s">
        <v>156</v>
      </c>
    </row>
    <row r="530" ht="12.75" customHeight="1">
      <c r="C530" s="71"/>
      <c r="D530" s="102"/>
      <c r="E530" s="3">
        <v>465.0</v>
      </c>
      <c r="F530" s="103"/>
      <c r="G530" s="10"/>
      <c r="H530" s="13"/>
      <c r="I530" s="10" t="s">
        <v>156</v>
      </c>
    </row>
    <row r="531" ht="12.75" customHeight="1">
      <c r="C531" s="71"/>
      <c r="D531" s="102"/>
      <c r="E531" s="3">
        <v>466.0</v>
      </c>
      <c r="F531" s="103"/>
      <c r="G531" s="10"/>
      <c r="H531" s="13"/>
      <c r="I531" s="10" t="s">
        <v>156</v>
      </c>
    </row>
    <row r="532" ht="12.75" customHeight="1">
      <c r="C532" s="71"/>
      <c r="D532" s="102"/>
      <c r="E532" s="3">
        <v>467.0</v>
      </c>
      <c r="F532" s="103"/>
      <c r="G532" s="10"/>
      <c r="H532" s="13"/>
      <c r="I532" s="10" t="s">
        <v>156</v>
      </c>
    </row>
    <row r="533" ht="12.75" customHeight="1">
      <c r="C533" s="71"/>
      <c r="D533" s="102"/>
      <c r="E533" s="3">
        <v>468.0</v>
      </c>
      <c r="F533" s="103"/>
      <c r="G533" s="10"/>
      <c r="H533" s="13"/>
      <c r="I533" s="10" t="s">
        <v>156</v>
      </c>
    </row>
    <row r="534" ht="12.75" customHeight="1">
      <c r="C534" s="71"/>
      <c r="D534" s="102"/>
      <c r="E534" s="3">
        <v>469.0</v>
      </c>
      <c r="F534" s="103"/>
      <c r="G534" s="10"/>
      <c r="H534" s="13"/>
      <c r="I534" s="10" t="s">
        <v>156</v>
      </c>
    </row>
    <row r="535" ht="12.75" customHeight="1">
      <c r="C535" s="71"/>
      <c r="D535" s="102"/>
      <c r="E535" s="3">
        <v>470.0</v>
      </c>
      <c r="F535" s="103"/>
      <c r="G535" s="10"/>
      <c r="H535" s="13"/>
      <c r="I535" s="10" t="s">
        <v>156</v>
      </c>
    </row>
    <row r="536" ht="12.75" customHeight="1">
      <c r="C536" s="71"/>
      <c r="D536" s="102"/>
      <c r="E536" s="3">
        <v>471.0</v>
      </c>
      <c r="F536" s="103"/>
      <c r="G536" s="10"/>
      <c r="H536" s="13"/>
      <c r="I536" s="10" t="s">
        <v>156</v>
      </c>
    </row>
    <row r="537" ht="12.75" customHeight="1">
      <c r="C537" s="71"/>
      <c r="D537" s="102"/>
      <c r="E537" s="3">
        <v>472.0</v>
      </c>
      <c r="F537" s="103"/>
      <c r="G537" s="10"/>
      <c r="H537" s="13"/>
      <c r="I537" s="10" t="s">
        <v>156</v>
      </c>
    </row>
    <row r="538" ht="12.75" customHeight="1">
      <c r="C538" s="71"/>
      <c r="D538" s="102"/>
      <c r="E538" s="3">
        <v>473.0</v>
      </c>
      <c r="F538" s="103"/>
      <c r="G538" s="10"/>
      <c r="H538" s="13"/>
      <c r="I538" s="10" t="s">
        <v>156</v>
      </c>
    </row>
    <row r="539" ht="12.75" customHeight="1">
      <c r="C539" s="71"/>
      <c r="D539" s="102"/>
      <c r="E539" s="3">
        <v>474.0</v>
      </c>
      <c r="F539" s="103"/>
      <c r="G539" s="10"/>
      <c r="H539" s="13"/>
      <c r="I539" s="10" t="s">
        <v>156</v>
      </c>
    </row>
    <row r="540" ht="12.75" customHeight="1">
      <c r="C540" s="71"/>
      <c r="D540" s="102"/>
      <c r="E540" s="3">
        <v>475.0</v>
      </c>
      <c r="F540" s="103"/>
      <c r="G540" s="10"/>
      <c r="H540" s="13"/>
      <c r="I540" s="10" t="s">
        <v>156</v>
      </c>
    </row>
    <row r="541" ht="12.75" customHeight="1">
      <c r="C541" s="71"/>
      <c r="D541" s="102"/>
      <c r="E541" s="3">
        <v>476.0</v>
      </c>
      <c r="F541" s="103"/>
      <c r="G541" s="10"/>
      <c r="H541" s="13"/>
      <c r="I541" s="10" t="s">
        <v>156</v>
      </c>
    </row>
    <row r="542" ht="12.75" customHeight="1">
      <c r="C542" s="71"/>
      <c r="D542" s="102"/>
      <c r="E542" s="3">
        <v>477.0</v>
      </c>
      <c r="F542" s="103"/>
      <c r="G542" s="10"/>
      <c r="H542" s="13"/>
      <c r="I542" s="10" t="s">
        <v>156</v>
      </c>
    </row>
    <row r="543" ht="12.75" customHeight="1">
      <c r="C543" s="71"/>
      <c r="D543" s="102"/>
      <c r="E543" s="3">
        <v>478.0</v>
      </c>
      <c r="F543" s="103"/>
      <c r="G543" s="10"/>
      <c r="H543" s="13"/>
      <c r="I543" s="10" t="s">
        <v>156</v>
      </c>
    </row>
    <row r="544" ht="12.75" customHeight="1">
      <c r="C544" s="71"/>
      <c r="D544" s="102"/>
      <c r="E544" s="3">
        <v>479.0</v>
      </c>
      <c r="F544" s="103"/>
      <c r="G544" s="10"/>
      <c r="H544" s="13"/>
      <c r="I544" s="10" t="s">
        <v>156</v>
      </c>
    </row>
    <row r="545" ht="12.75" customHeight="1">
      <c r="C545" s="71"/>
      <c r="D545" s="102"/>
      <c r="E545" s="3">
        <v>480.0</v>
      </c>
      <c r="F545" s="103"/>
      <c r="G545" s="10"/>
      <c r="H545" s="13"/>
      <c r="I545" s="10" t="s">
        <v>156</v>
      </c>
    </row>
    <row r="546" ht="12.75" customHeight="1">
      <c r="C546" s="71"/>
      <c r="D546" s="102"/>
      <c r="E546" s="3">
        <v>481.0</v>
      </c>
      <c r="F546" s="103"/>
      <c r="G546" s="10"/>
      <c r="H546" s="13"/>
      <c r="I546" s="10" t="s">
        <v>156</v>
      </c>
    </row>
    <row r="547" ht="12.75" customHeight="1">
      <c r="C547" s="71"/>
      <c r="D547" s="102"/>
      <c r="E547" s="3">
        <v>482.0</v>
      </c>
      <c r="F547" s="103"/>
      <c r="G547" s="10"/>
      <c r="H547" s="13"/>
      <c r="I547" s="10" t="s">
        <v>156</v>
      </c>
    </row>
    <row r="548" ht="12.75" customHeight="1">
      <c r="C548" s="71"/>
      <c r="D548" s="102"/>
      <c r="E548" s="3">
        <v>483.0</v>
      </c>
      <c r="F548" s="103"/>
      <c r="G548" s="10"/>
      <c r="H548" s="13"/>
      <c r="I548" s="10" t="s">
        <v>156</v>
      </c>
    </row>
    <row r="549" ht="12.75" customHeight="1">
      <c r="C549" s="71"/>
      <c r="D549" s="102"/>
      <c r="E549" s="3">
        <v>484.0</v>
      </c>
      <c r="F549" s="103"/>
      <c r="G549" s="10"/>
      <c r="H549" s="13"/>
      <c r="I549" s="10" t="s">
        <v>156</v>
      </c>
    </row>
    <row r="550" ht="12.75" customHeight="1">
      <c r="C550" s="71"/>
      <c r="D550" s="102"/>
      <c r="E550" s="3">
        <v>485.0</v>
      </c>
      <c r="F550" s="103"/>
      <c r="G550" s="10"/>
      <c r="H550" s="13"/>
      <c r="I550" s="10" t="s">
        <v>156</v>
      </c>
    </row>
    <row r="551" ht="12.75" customHeight="1">
      <c r="C551" s="71"/>
      <c r="D551" s="102"/>
      <c r="E551" s="3">
        <v>486.0</v>
      </c>
      <c r="F551" s="103"/>
      <c r="G551" s="10"/>
      <c r="H551" s="13"/>
      <c r="I551" s="10" t="s">
        <v>156</v>
      </c>
    </row>
    <row r="552" ht="12.75" customHeight="1">
      <c r="C552" s="71"/>
      <c r="D552" s="102"/>
      <c r="E552" s="3">
        <v>487.0</v>
      </c>
      <c r="F552" s="103"/>
      <c r="G552" s="10"/>
      <c r="H552" s="13"/>
      <c r="I552" s="10" t="s">
        <v>156</v>
      </c>
    </row>
    <row r="553" ht="12.75" customHeight="1">
      <c r="C553" s="71"/>
      <c r="D553" s="102"/>
      <c r="E553" s="3">
        <v>488.0</v>
      </c>
      <c r="F553" s="103"/>
      <c r="G553" s="10"/>
      <c r="H553" s="13"/>
      <c r="I553" s="10" t="s">
        <v>156</v>
      </c>
    </row>
    <row r="554" ht="12.75" customHeight="1">
      <c r="C554" s="71"/>
      <c r="D554" s="102"/>
      <c r="E554" s="3">
        <v>489.0</v>
      </c>
      <c r="F554" s="103"/>
      <c r="G554" s="10"/>
      <c r="H554" s="13"/>
      <c r="I554" s="10" t="s">
        <v>156</v>
      </c>
    </row>
    <row r="555" ht="12.75" customHeight="1">
      <c r="C555" s="71"/>
      <c r="D555" s="102"/>
      <c r="E555" s="3">
        <v>490.0</v>
      </c>
      <c r="F555" s="103"/>
      <c r="G555" s="10"/>
      <c r="H555" s="13"/>
      <c r="I555" s="10" t="s">
        <v>156</v>
      </c>
    </row>
    <row r="556" ht="12.75" customHeight="1">
      <c r="C556" s="71"/>
      <c r="D556" s="102"/>
      <c r="E556" s="3">
        <v>491.0</v>
      </c>
      <c r="F556" s="103"/>
      <c r="G556" s="10"/>
      <c r="H556" s="13"/>
      <c r="I556" s="10" t="s">
        <v>156</v>
      </c>
    </row>
    <row r="557" ht="12.75" customHeight="1">
      <c r="C557" s="71"/>
      <c r="D557" s="102"/>
      <c r="E557" s="3">
        <v>492.0</v>
      </c>
      <c r="F557" s="103"/>
      <c r="G557" s="10"/>
      <c r="H557" s="13"/>
      <c r="I557" s="10" t="s">
        <v>156</v>
      </c>
    </row>
    <row r="558" ht="12.75" customHeight="1">
      <c r="C558" s="71"/>
      <c r="D558" s="102"/>
      <c r="E558" s="3">
        <v>493.0</v>
      </c>
      <c r="F558" s="103"/>
      <c r="G558" s="10"/>
      <c r="H558" s="13"/>
      <c r="I558" s="10" t="s">
        <v>156</v>
      </c>
    </row>
    <row r="559" ht="12.75" customHeight="1">
      <c r="C559" s="71"/>
      <c r="D559" s="102"/>
      <c r="E559" s="3">
        <v>494.0</v>
      </c>
      <c r="F559" s="103"/>
      <c r="G559" s="10"/>
      <c r="H559" s="13"/>
      <c r="I559" s="10" t="s">
        <v>156</v>
      </c>
    </row>
    <row r="560" ht="12.75" customHeight="1">
      <c r="C560" s="71"/>
      <c r="D560" s="102"/>
      <c r="E560" s="3">
        <v>495.0</v>
      </c>
      <c r="F560" s="103"/>
      <c r="G560" s="10"/>
      <c r="H560" s="13"/>
      <c r="I560" s="10" t="s">
        <v>156</v>
      </c>
    </row>
    <row r="561" ht="12.75" customHeight="1">
      <c r="C561" s="71"/>
      <c r="D561" s="102"/>
      <c r="E561" s="3">
        <v>496.0</v>
      </c>
      <c r="F561" s="103"/>
      <c r="G561" s="10"/>
      <c r="H561" s="13"/>
      <c r="I561" s="10" t="s">
        <v>156</v>
      </c>
    </row>
    <row r="562" ht="12.75" customHeight="1">
      <c r="C562" s="71"/>
      <c r="D562" s="102"/>
      <c r="E562" s="3">
        <v>497.0</v>
      </c>
      <c r="F562" s="103"/>
      <c r="G562" s="10"/>
      <c r="H562" s="13"/>
      <c r="I562" s="10" t="s">
        <v>156</v>
      </c>
    </row>
    <row r="563" ht="12.75" customHeight="1">
      <c r="C563" s="71"/>
      <c r="D563" s="102"/>
      <c r="E563" s="3">
        <v>498.0</v>
      </c>
      <c r="F563" s="103"/>
      <c r="G563" s="10"/>
      <c r="H563" s="13"/>
      <c r="I563" s="10" t="s">
        <v>156</v>
      </c>
    </row>
    <row r="564" ht="12.75" customHeight="1">
      <c r="C564" s="71"/>
      <c r="D564" s="102"/>
      <c r="E564" s="3">
        <v>499.0</v>
      </c>
      <c r="F564" s="103"/>
      <c r="G564" s="10"/>
      <c r="H564" s="13"/>
      <c r="I564" s="10" t="s">
        <v>156</v>
      </c>
    </row>
    <row r="565" ht="12.75" customHeight="1">
      <c r="C565" s="71"/>
      <c r="D565" s="102"/>
      <c r="E565" s="3">
        <v>500.0</v>
      </c>
      <c r="F565" s="103"/>
      <c r="G565" s="10"/>
      <c r="H565" s="13"/>
      <c r="I565" s="10" t="s">
        <v>156</v>
      </c>
    </row>
    <row r="566" ht="12.75" customHeight="1">
      <c r="C566" s="71"/>
      <c r="D566" s="102"/>
      <c r="E566" s="3">
        <v>501.0</v>
      </c>
      <c r="F566" s="103"/>
      <c r="G566" s="10"/>
      <c r="H566" s="13"/>
      <c r="I566" s="10" t="s">
        <v>156</v>
      </c>
    </row>
    <row r="567" ht="12.75" customHeight="1">
      <c r="C567" s="71"/>
      <c r="D567" s="102"/>
      <c r="E567" s="3">
        <v>502.0</v>
      </c>
      <c r="F567" s="103"/>
      <c r="G567" s="10"/>
      <c r="H567" s="13"/>
      <c r="I567" s="10" t="s">
        <v>156</v>
      </c>
    </row>
    <row r="568" ht="12.75" customHeight="1">
      <c r="C568" s="71"/>
      <c r="D568" s="102"/>
      <c r="E568" s="3">
        <v>503.0</v>
      </c>
      <c r="F568" s="103"/>
      <c r="G568" s="10"/>
      <c r="H568" s="13"/>
      <c r="I568" s="10" t="s">
        <v>156</v>
      </c>
    </row>
    <row r="569" ht="12.75" customHeight="1">
      <c r="C569" s="71"/>
      <c r="D569" s="102"/>
      <c r="E569" s="3">
        <v>504.0</v>
      </c>
      <c r="F569" s="103"/>
      <c r="G569" s="10"/>
      <c r="H569" s="13"/>
      <c r="I569" s="10" t="s">
        <v>156</v>
      </c>
    </row>
    <row r="570" ht="12.75" customHeight="1">
      <c r="C570" s="71"/>
      <c r="D570" s="102"/>
      <c r="E570" s="3">
        <v>505.0</v>
      </c>
      <c r="F570" s="103"/>
      <c r="G570" s="10"/>
      <c r="H570" s="13"/>
      <c r="I570" s="10" t="s">
        <v>156</v>
      </c>
    </row>
    <row r="571" ht="12.75" customHeight="1">
      <c r="C571" s="71"/>
      <c r="D571" s="102"/>
      <c r="E571" s="3">
        <v>506.0</v>
      </c>
      <c r="F571" s="103"/>
      <c r="G571" s="10"/>
      <c r="H571" s="13"/>
      <c r="I571" s="10" t="s">
        <v>156</v>
      </c>
    </row>
    <row r="572" ht="12.75" customHeight="1">
      <c r="C572" s="71"/>
      <c r="D572" s="102"/>
      <c r="E572" s="3">
        <v>507.0</v>
      </c>
      <c r="F572" s="103"/>
      <c r="G572" s="10"/>
      <c r="H572" s="13"/>
      <c r="I572" s="10" t="s">
        <v>156</v>
      </c>
    </row>
    <row r="573" ht="12.75" customHeight="1">
      <c r="C573" s="71"/>
      <c r="D573" s="102"/>
      <c r="E573" s="3">
        <v>508.0</v>
      </c>
      <c r="F573" s="103"/>
      <c r="G573" s="10"/>
      <c r="H573" s="13"/>
      <c r="I573" s="10" t="s">
        <v>156</v>
      </c>
    </row>
    <row r="574" ht="12.75" customHeight="1">
      <c r="C574" s="71"/>
      <c r="D574" s="102"/>
      <c r="E574" s="3">
        <v>509.0</v>
      </c>
      <c r="F574" s="103"/>
      <c r="G574" s="10"/>
      <c r="H574" s="13"/>
      <c r="I574" s="10" t="s">
        <v>156</v>
      </c>
    </row>
    <row r="575" ht="12.75" customHeight="1">
      <c r="C575" s="71"/>
      <c r="D575" s="102"/>
      <c r="E575" s="3">
        <v>510.0</v>
      </c>
      <c r="F575" s="103"/>
      <c r="G575" s="10"/>
      <c r="H575" s="13"/>
      <c r="I575" s="10" t="s">
        <v>156</v>
      </c>
    </row>
    <row r="576" ht="12.75" customHeight="1">
      <c r="C576" s="71"/>
      <c r="D576" s="102"/>
      <c r="E576" s="3">
        <v>511.0</v>
      </c>
      <c r="F576" s="103"/>
      <c r="G576" s="10"/>
      <c r="H576" s="13"/>
      <c r="I576" s="10" t="s">
        <v>156</v>
      </c>
    </row>
    <row r="577" ht="12.75" customHeight="1">
      <c r="C577" s="71"/>
      <c r="D577" s="102"/>
      <c r="E577" s="3">
        <v>512.0</v>
      </c>
      <c r="F577" s="103"/>
      <c r="G577" s="10"/>
      <c r="H577" s="13"/>
      <c r="I577" s="10" t="s">
        <v>156</v>
      </c>
    </row>
    <row r="578" ht="12.75" customHeight="1">
      <c r="C578" s="71"/>
      <c r="D578" s="102"/>
      <c r="E578" s="3">
        <v>513.0</v>
      </c>
      <c r="F578" s="103"/>
      <c r="G578" s="10"/>
      <c r="H578" s="13"/>
      <c r="I578" s="10" t="s">
        <v>156</v>
      </c>
    </row>
    <row r="579" ht="12.75" customHeight="1">
      <c r="C579" s="71"/>
      <c r="D579" s="102"/>
      <c r="E579" s="3">
        <v>514.0</v>
      </c>
      <c r="F579" s="103"/>
      <c r="G579" s="10"/>
      <c r="H579" s="13"/>
      <c r="I579" s="10" t="s">
        <v>156</v>
      </c>
    </row>
    <row r="580" ht="12.75" customHeight="1">
      <c r="C580" s="71"/>
      <c r="D580" s="102"/>
      <c r="E580" s="3">
        <v>515.0</v>
      </c>
      <c r="F580" s="103"/>
      <c r="G580" s="10"/>
      <c r="H580" s="13"/>
      <c r="I580" s="10" t="s">
        <v>156</v>
      </c>
    </row>
    <row r="581" ht="12.75" customHeight="1">
      <c r="C581" s="71"/>
      <c r="D581" s="102"/>
      <c r="E581" s="3">
        <v>516.0</v>
      </c>
      <c r="F581" s="103"/>
      <c r="G581" s="10"/>
      <c r="H581" s="13"/>
      <c r="I581" s="10" t="s">
        <v>156</v>
      </c>
    </row>
    <row r="582" ht="12.75" customHeight="1">
      <c r="C582" s="71"/>
      <c r="D582" s="102"/>
      <c r="E582" s="3">
        <v>517.0</v>
      </c>
      <c r="F582" s="103"/>
      <c r="G582" s="10"/>
      <c r="H582" s="13"/>
      <c r="I582" s="10" t="s">
        <v>156</v>
      </c>
    </row>
    <row r="583" ht="12.75" customHeight="1">
      <c r="C583" s="71"/>
      <c r="D583" s="102"/>
      <c r="E583" s="3">
        <v>518.0</v>
      </c>
      <c r="F583" s="103"/>
      <c r="G583" s="10"/>
      <c r="H583" s="13"/>
      <c r="I583" s="10" t="s">
        <v>156</v>
      </c>
    </row>
    <row r="584" ht="12.75" customHeight="1">
      <c r="C584" s="71"/>
      <c r="D584" s="102"/>
      <c r="E584" s="3">
        <v>519.0</v>
      </c>
      <c r="F584" s="103"/>
      <c r="G584" s="10"/>
      <c r="H584" s="13"/>
      <c r="I584" s="10" t="s">
        <v>156</v>
      </c>
    </row>
    <row r="585" ht="12.75" customHeight="1">
      <c r="C585" s="71"/>
      <c r="D585" s="102"/>
      <c r="E585" s="3">
        <v>520.0</v>
      </c>
      <c r="F585" s="103"/>
      <c r="G585" s="10"/>
      <c r="H585" s="13"/>
      <c r="I585" s="10" t="s">
        <v>156</v>
      </c>
    </row>
    <row r="586" ht="12.75" customHeight="1">
      <c r="C586" s="71"/>
      <c r="D586" s="102"/>
      <c r="E586" s="3">
        <v>521.0</v>
      </c>
      <c r="F586" s="103"/>
      <c r="G586" s="10"/>
      <c r="H586" s="13"/>
      <c r="I586" s="10" t="s">
        <v>156</v>
      </c>
    </row>
    <row r="587" ht="12.75" customHeight="1">
      <c r="C587" s="71"/>
      <c r="D587" s="102"/>
      <c r="E587" s="3">
        <v>522.0</v>
      </c>
      <c r="F587" s="103"/>
      <c r="G587" s="10"/>
      <c r="H587" s="13"/>
      <c r="I587" s="10" t="s">
        <v>156</v>
      </c>
    </row>
    <row r="588" ht="12.75" customHeight="1">
      <c r="C588" s="71"/>
      <c r="D588" s="102"/>
      <c r="E588" s="3">
        <v>523.0</v>
      </c>
      <c r="F588" s="103"/>
      <c r="G588" s="10"/>
      <c r="H588" s="13"/>
      <c r="I588" s="10" t="s">
        <v>156</v>
      </c>
    </row>
    <row r="589" ht="12.75" customHeight="1">
      <c r="C589" s="71"/>
      <c r="D589" s="102"/>
      <c r="E589" s="3">
        <v>524.0</v>
      </c>
      <c r="F589" s="103"/>
      <c r="G589" s="10"/>
      <c r="H589" s="13"/>
      <c r="I589" s="10" t="s">
        <v>156</v>
      </c>
    </row>
    <row r="590" ht="12.75" customHeight="1">
      <c r="C590" s="71"/>
      <c r="D590" s="102"/>
      <c r="E590" s="3">
        <v>525.0</v>
      </c>
      <c r="F590" s="103"/>
      <c r="G590" s="10"/>
      <c r="H590" s="13"/>
      <c r="I590" s="10" t="s">
        <v>156</v>
      </c>
    </row>
    <row r="591" ht="12.75" customHeight="1">
      <c r="C591" s="71"/>
      <c r="D591" s="102"/>
      <c r="E591" s="3">
        <v>526.0</v>
      </c>
      <c r="F591" s="103"/>
      <c r="G591" s="10"/>
      <c r="H591" s="13"/>
      <c r="I591" s="10" t="s">
        <v>156</v>
      </c>
    </row>
    <row r="592" ht="12.75" customHeight="1">
      <c r="C592" s="71"/>
      <c r="D592" s="102"/>
      <c r="E592" s="3">
        <v>527.0</v>
      </c>
      <c r="F592" s="103"/>
      <c r="G592" s="10"/>
      <c r="H592" s="13"/>
      <c r="I592" s="10" t="s">
        <v>156</v>
      </c>
    </row>
    <row r="593" ht="12.75" customHeight="1">
      <c r="C593" s="71"/>
      <c r="D593" s="102"/>
      <c r="E593" s="3">
        <v>528.0</v>
      </c>
      <c r="F593" s="103"/>
      <c r="G593" s="10"/>
      <c r="H593" s="13"/>
      <c r="I593" s="10" t="s">
        <v>156</v>
      </c>
    </row>
    <row r="594" ht="12.75" customHeight="1">
      <c r="C594" s="71"/>
      <c r="D594" s="102"/>
      <c r="E594" s="3">
        <v>529.0</v>
      </c>
      <c r="F594" s="103"/>
      <c r="G594" s="10"/>
      <c r="H594" s="13"/>
      <c r="I594" s="10" t="s">
        <v>156</v>
      </c>
    </row>
    <row r="595" ht="12.75" customHeight="1">
      <c r="C595" s="71"/>
      <c r="D595" s="102"/>
      <c r="E595" s="3">
        <v>530.0</v>
      </c>
      <c r="F595" s="103"/>
      <c r="G595" s="10"/>
      <c r="H595" s="13"/>
      <c r="I595" s="10" t="s">
        <v>156</v>
      </c>
    </row>
    <row r="596" ht="12.75" customHeight="1">
      <c r="C596" s="71"/>
      <c r="D596" s="102"/>
      <c r="E596" s="3">
        <v>531.0</v>
      </c>
      <c r="F596" s="103"/>
      <c r="G596" s="10"/>
      <c r="H596" s="13"/>
      <c r="I596" s="10" t="s">
        <v>156</v>
      </c>
    </row>
    <row r="597" ht="12.75" customHeight="1">
      <c r="C597" s="71"/>
      <c r="D597" s="102"/>
      <c r="E597" s="3">
        <v>532.0</v>
      </c>
      <c r="F597" s="103"/>
      <c r="G597" s="10"/>
      <c r="H597" s="13"/>
      <c r="I597" s="10" t="s">
        <v>156</v>
      </c>
    </row>
    <row r="598" ht="12.75" customHeight="1">
      <c r="C598" s="71"/>
      <c r="D598" s="102"/>
      <c r="E598" s="3">
        <v>533.0</v>
      </c>
      <c r="F598" s="103"/>
      <c r="G598" s="10"/>
      <c r="H598" s="13"/>
      <c r="I598" s="10" t="s">
        <v>156</v>
      </c>
    </row>
    <row r="599" ht="12.75" customHeight="1">
      <c r="C599" s="71"/>
      <c r="D599" s="102"/>
      <c r="E599" s="3">
        <v>534.0</v>
      </c>
      <c r="F599" s="103"/>
      <c r="G599" s="10"/>
      <c r="H599" s="13"/>
      <c r="I599" s="10" t="s">
        <v>156</v>
      </c>
    </row>
    <row r="600" ht="12.75" customHeight="1">
      <c r="C600" s="71"/>
      <c r="D600" s="102"/>
      <c r="E600" s="3">
        <v>535.0</v>
      </c>
      <c r="F600" s="103"/>
      <c r="G600" s="10"/>
      <c r="H600" s="13"/>
      <c r="I600" s="10" t="s">
        <v>156</v>
      </c>
    </row>
    <row r="601" ht="12.75" customHeight="1">
      <c r="C601" s="71"/>
      <c r="D601" s="102"/>
      <c r="E601" s="3">
        <v>536.0</v>
      </c>
      <c r="F601" s="103"/>
      <c r="G601" s="10"/>
      <c r="H601" s="13"/>
      <c r="I601" s="10" t="s">
        <v>156</v>
      </c>
    </row>
    <row r="602" ht="12.75" customHeight="1">
      <c r="C602" s="71"/>
      <c r="D602" s="102"/>
      <c r="E602" s="3">
        <v>537.0</v>
      </c>
      <c r="F602" s="103"/>
      <c r="G602" s="10"/>
      <c r="H602" s="13"/>
      <c r="I602" s="10" t="s">
        <v>156</v>
      </c>
    </row>
    <row r="603" ht="12.75" customHeight="1">
      <c r="C603" s="71"/>
      <c r="D603" s="102"/>
      <c r="E603" s="3">
        <v>538.0</v>
      </c>
      <c r="F603" s="103"/>
      <c r="G603" s="10"/>
      <c r="H603" s="13"/>
      <c r="I603" s="10" t="s">
        <v>156</v>
      </c>
    </row>
    <row r="604" ht="12.75" customHeight="1">
      <c r="C604" s="71"/>
      <c r="D604" s="102"/>
      <c r="E604" s="3">
        <v>539.0</v>
      </c>
      <c r="F604" s="103"/>
      <c r="G604" s="10"/>
      <c r="H604" s="13"/>
      <c r="I604" s="10" t="s">
        <v>156</v>
      </c>
    </row>
    <row r="605" ht="12.75" customHeight="1">
      <c r="C605" s="71"/>
      <c r="D605" s="102"/>
      <c r="E605" s="3">
        <v>540.0</v>
      </c>
      <c r="F605" s="103"/>
      <c r="G605" s="10"/>
      <c r="H605" s="13"/>
      <c r="I605" s="10" t="s">
        <v>156</v>
      </c>
    </row>
    <row r="606" ht="12.75" customHeight="1">
      <c r="C606" s="71"/>
      <c r="D606" s="102"/>
      <c r="E606" s="3">
        <v>541.0</v>
      </c>
      <c r="F606" s="103"/>
      <c r="G606" s="10"/>
      <c r="H606" s="13"/>
      <c r="I606" s="10" t="s">
        <v>156</v>
      </c>
    </row>
    <row r="607" ht="12.75" customHeight="1">
      <c r="C607" s="71"/>
      <c r="D607" s="102"/>
      <c r="E607" s="3">
        <v>542.0</v>
      </c>
      <c r="F607" s="103"/>
      <c r="G607" s="10"/>
      <c r="H607" s="13"/>
      <c r="I607" s="10" t="s">
        <v>156</v>
      </c>
    </row>
    <row r="608" ht="12.75" customHeight="1">
      <c r="C608" s="71"/>
      <c r="D608" s="102"/>
      <c r="E608" s="3">
        <v>543.0</v>
      </c>
      <c r="F608" s="103"/>
      <c r="G608" s="10"/>
      <c r="H608" s="13"/>
      <c r="I608" s="10" t="s">
        <v>156</v>
      </c>
    </row>
    <row r="609" ht="12.75" customHeight="1">
      <c r="C609" s="71"/>
      <c r="D609" s="102"/>
      <c r="E609" s="3">
        <v>544.0</v>
      </c>
      <c r="F609" s="103"/>
      <c r="G609" s="10"/>
      <c r="H609" s="13"/>
      <c r="I609" s="10" t="s">
        <v>156</v>
      </c>
    </row>
    <row r="610" ht="12.75" customHeight="1">
      <c r="C610" s="71"/>
      <c r="D610" s="102"/>
      <c r="E610" s="3">
        <v>545.0</v>
      </c>
      <c r="F610" s="103"/>
      <c r="G610" s="10"/>
      <c r="H610" s="13"/>
      <c r="I610" s="10" t="s">
        <v>156</v>
      </c>
    </row>
    <row r="611" ht="12.75" customHeight="1">
      <c r="C611" s="71"/>
      <c r="D611" s="102"/>
      <c r="E611" s="3">
        <v>546.0</v>
      </c>
      <c r="F611" s="103"/>
      <c r="G611" s="10"/>
      <c r="H611" s="13"/>
      <c r="I611" s="10" t="s">
        <v>156</v>
      </c>
    </row>
    <row r="612" ht="12.75" customHeight="1">
      <c r="C612" s="71"/>
      <c r="D612" s="102"/>
      <c r="E612" s="3">
        <v>547.0</v>
      </c>
      <c r="F612" s="103"/>
      <c r="G612" s="10"/>
      <c r="H612" s="13"/>
      <c r="I612" s="10" t="s">
        <v>156</v>
      </c>
    </row>
    <row r="613" ht="12.75" customHeight="1">
      <c r="C613" s="71"/>
      <c r="D613" s="102"/>
      <c r="E613" s="3">
        <v>548.0</v>
      </c>
      <c r="F613" s="103"/>
      <c r="G613" s="10"/>
      <c r="H613" s="13"/>
      <c r="I613" s="10" t="s">
        <v>156</v>
      </c>
    </row>
    <row r="614" ht="12.75" customHeight="1">
      <c r="C614" s="71"/>
      <c r="D614" s="102"/>
      <c r="E614" s="3">
        <v>549.0</v>
      </c>
      <c r="F614" s="103"/>
      <c r="G614" s="10"/>
      <c r="H614" s="13"/>
      <c r="I614" s="10" t="s">
        <v>156</v>
      </c>
    </row>
    <row r="615" ht="12.75" customHeight="1">
      <c r="C615" s="71"/>
      <c r="D615" s="102"/>
      <c r="E615" s="3">
        <v>550.0</v>
      </c>
      <c r="F615" s="103"/>
      <c r="G615" s="10"/>
      <c r="H615" s="13"/>
      <c r="I615" s="10" t="s">
        <v>156</v>
      </c>
    </row>
    <row r="616" ht="12.75" customHeight="1">
      <c r="C616" s="71"/>
      <c r="D616" s="102"/>
      <c r="E616" s="3">
        <v>551.0</v>
      </c>
      <c r="F616" s="103"/>
      <c r="G616" s="10"/>
      <c r="H616" s="13"/>
      <c r="I616" s="10" t="s">
        <v>156</v>
      </c>
    </row>
    <row r="617" ht="12.75" customHeight="1">
      <c r="C617" s="71"/>
      <c r="D617" s="102"/>
      <c r="E617" s="3">
        <v>552.0</v>
      </c>
      <c r="F617" s="103"/>
      <c r="G617" s="10"/>
      <c r="H617" s="13"/>
      <c r="I617" s="10" t="s">
        <v>156</v>
      </c>
    </row>
    <row r="618" ht="12.75" customHeight="1">
      <c r="C618" s="71"/>
      <c r="D618" s="102"/>
      <c r="E618" s="3">
        <v>553.0</v>
      </c>
      <c r="F618" s="103"/>
      <c r="G618" s="10"/>
      <c r="H618" s="13"/>
      <c r="I618" s="10" t="s">
        <v>156</v>
      </c>
    </row>
    <row r="619" ht="12.75" customHeight="1">
      <c r="C619" s="71"/>
      <c r="D619" s="102"/>
      <c r="E619" s="3">
        <v>554.0</v>
      </c>
      <c r="F619" s="103"/>
      <c r="G619" s="10"/>
      <c r="H619" s="13"/>
      <c r="I619" s="10" t="s">
        <v>156</v>
      </c>
    </row>
    <row r="620" ht="12.75" customHeight="1">
      <c r="C620" s="71"/>
      <c r="D620" s="102"/>
      <c r="E620" s="3">
        <v>555.0</v>
      </c>
      <c r="F620" s="103"/>
      <c r="G620" s="10"/>
      <c r="H620" s="13"/>
      <c r="I620" s="10" t="s">
        <v>156</v>
      </c>
    </row>
    <row r="621" ht="12.75" customHeight="1">
      <c r="C621" s="71"/>
      <c r="D621" s="102"/>
      <c r="E621" s="3">
        <v>556.0</v>
      </c>
      <c r="F621" s="103"/>
      <c r="G621" s="10"/>
      <c r="H621" s="13"/>
      <c r="I621" s="10" t="s">
        <v>156</v>
      </c>
    </row>
    <row r="622" ht="12.75" customHeight="1">
      <c r="C622" s="71"/>
      <c r="D622" s="102"/>
      <c r="E622" s="3">
        <v>557.0</v>
      </c>
      <c r="F622" s="103"/>
      <c r="G622" s="10"/>
      <c r="H622" s="13"/>
      <c r="I622" s="10" t="s">
        <v>156</v>
      </c>
    </row>
    <row r="623" ht="12.75" customHeight="1">
      <c r="C623" s="71"/>
      <c r="D623" s="102"/>
      <c r="E623" s="3">
        <v>558.0</v>
      </c>
      <c r="F623" s="103"/>
      <c r="G623" s="10"/>
      <c r="H623" s="13"/>
      <c r="I623" s="10" t="s">
        <v>156</v>
      </c>
    </row>
    <row r="624" ht="12.75" customHeight="1">
      <c r="C624" s="71"/>
      <c r="D624" s="102"/>
      <c r="E624" s="3">
        <v>559.0</v>
      </c>
      <c r="F624" s="103"/>
      <c r="G624" s="10"/>
      <c r="H624" s="13"/>
      <c r="I624" s="10" t="s">
        <v>156</v>
      </c>
    </row>
    <row r="625" ht="12.75" customHeight="1">
      <c r="C625" s="71"/>
      <c r="D625" s="102"/>
      <c r="E625" s="3">
        <v>560.0</v>
      </c>
      <c r="F625" s="103"/>
      <c r="G625" s="10"/>
      <c r="H625" s="13"/>
      <c r="I625" s="10" t="s">
        <v>156</v>
      </c>
    </row>
    <row r="626" ht="12.75" customHeight="1">
      <c r="C626" s="71"/>
      <c r="D626" s="102"/>
      <c r="E626" s="3">
        <v>561.0</v>
      </c>
      <c r="F626" s="103"/>
      <c r="G626" s="10"/>
      <c r="H626" s="13"/>
      <c r="I626" s="10" t="s">
        <v>156</v>
      </c>
    </row>
    <row r="627" ht="12.75" customHeight="1">
      <c r="C627" s="71"/>
      <c r="D627" s="102"/>
      <c r="E627" s="3">
        <v>562.0</v>
      </c>
      <c r="F627" s="103"/>
      <c r="G627" s="10"/>
      <c r="H627" s="13"/>
      <c r="I627" s="10" t="s">
        <v>156</v>
      </c>
    </row>
    <row r="628" ht="12.75" customHeight="1">
      <c r="C628" s="71"/>
      <c r="D628" s="102"/>
      <c r="E628" s="3">
        <v>563.0</v>
      </c>
      <c r="F628" s="103"/>
      <c r="G628" s="10"/>
      <c r="H628" s="13"/>
      <c r="I628" s="10" t="s">
        <v>156</v>
      </c>
    </row>
    <row r="629" ht="12.75" customHeight="1">
      <c r="C629" s="71"/>
      <c r="D629" s="102"/>
      <c r="E629" s="3">
        <v>564.0</v>
      </c>
      <c r="F629" s="103"/>
      <c r="G629" s="10"/>
      <c r="H629" s="13"/>
      <c r="I629" s="10" t="s">
        <v>156</v>
      </c>
    </row>
    <row r="630" ht="12.75" customHeight="1">
      <c r="C630" s="71"/>
      <c r="D630" s="102"/>
      <c r="E630" s="3">
        <v>565.0</v>
      </c>
      <c r="F630" s="103"/>
      <c r="G630" s="10"/>
      <c r="H630" s="13"/>
      <c r="I630" s="10" t="s">
        <v>156</v>
      </c>
    </row>
    <row r="631" ht="12.75" customHeight="1">
      <c r="C631" s="71"/>
      <c r="D631" s="102"/>
      <c r="E631" s="3">
        <v>566.0</v>
      </c>
      <c r="F631" s="103"/>
      <c r="G631" s="10"/>
      <c r="H631" s="13"/>
      <c r="I631" s="10" t="s">
        <v>156</v>
      </c>
    </row>
    <row r="632" ht="12.75" customHeight="1">
      <c r="C632" s="71"/>
      <c r="D632" s="102"/>
      <c r="E632" s="3">
        <v>567.0</v>
      </c>
      <c r="F632" s="103"/>
      <c r="G632" s="10"/>
      <c r="H632" s="13"/>
      <c r="I632" s="10" t="s">
        <v>156</v>
      </c>
    </row>
    <row r="633" ht="12.75" customHeight="1">
      <c r="C633" s="71"/>
      <c r="D633" s="102"/>
      <c r="E633" s="3">
        <v>568.0</v>
      </c>
      <c r="F633" s="103"/>
      <c r="G633" s="10"/>
      <c r="H633" s="13"/>
      <c r="I633" s="10" t="s">
        <v>156</v>
      </c>
    </row>
    <row r="634" ht="12.75" customHeight="1">
      <c r="C634" s="71"/>
      <c r="D634" s="102"/>
      <c r="E634" s="3">
        <v>569.0</v>
      </c>
      <c r="F634" s="103"/>
      <c r="G634" s="10"/>
      <c r="H634" s="13"/>
      <c r="I634" s="10" t="s">
        <v>156</v>
      </c>
    </row>
    <row r="635" ht="12.75" customHeight="1">
      <c r="C635" s="71"/>
      <c r="D635" s="102"/>
      <c r="E635" s="3">
        <v>570.0</v>
      </c>
      <c r="F635" s="103"/>
      <c r="G635" s="10"/>
      <c r="H635" s="13"/>
      <c r="I635" s="10" t="s">
        <v>156</v>
      </c>
    </row>
    <row r="636" ht="12.75" customHeight="1">
      <c r="C636" s="71"/>
      <c r="D636" s="102"/>
      <c r="E636" s="3">
        <v>571.0</v>
      </c>
      <c r="F636" s="103"/>
      <c r="G636" s="10"/>
      <c r="H636" s="13"/>
      <c r="I636" s="10" t="s">
        <v>156</v>
      </c>
    </row>
    <row r="637" ht="12.75" customHeight="1">
      <c r="C637" s="71"/>
      <c r="D637" s="102"/>
      <c r="E637" s="3">
        <v>572.0</v>
      </c>
      <c r="F637" s="103"/>
      <c r="G637" s="10"/>
      <c r="H637" s="13"/>
      <c r="I637" s="10" t="s">
        <v>156</v>
      </c>
    </row>
    <row r="638" ht="12.75" customHeight="1">
      <c r="C638" s="71"/>
      <c r="D638" s="102"/>
      <c r="E638" s="3">
        <v>573.0</v>
      </c>
      <c r="F638" s="103"/>
      <c r="G638" s="10"/>
      <c r="H638" s="13"/>
      <c r="I638" s="10" t="s">
        <v>156</v>
      </c>
    </row>
    <row r="639" ht="12.75" customHeight="1">
      <c r="C639" s="71"/>
      <c r="D639" s="102"/>
      <c r="E639" s="3">
        <v>574.0</v>
      </c>
      <c r="F639" s="72"/>
      <c r="H639" s="104"/>
      <c r="I639" s="10" t="s">
        <v>156</v>
      </c>
    </row>
    <row r="640" ht="12.75" customHeight="1">
      <c r="C640" s="71"/>
      <c r="D640" s="102"/>
      <c r="E640" s="3">
        <v>575.0</v>
      </c>
      <c r="F640" s="72"/>
      <c r="H640" s="13"/>
      <c r="I640" s="10" t="s">
        <v>156</v>
      </c>
    </row>
    <row r="641" ht="12.75" customHeight="1">
      <c r="C641" s="71"/>
      <c r="D641" s="102"/>
      <c r="E641" s="3">
        <v>576.0</v>
      </c>
      <c r="F641" s="72"/>
      <c r="H641" s="13"/>
      <c r="I641" s="10" t="s">
        <v>156</v>
      </c>
    </row>
    <row r="642" ht="12.75" customHeight="1">
      <c r="C642" s="71"/>
      <c r="D642" s="102"/>
      <c r="E642" s="3">
        <v>577.0</v>
      </c>
      <c r="F642" s="72"/>
      <c r="H642" s="13"/>
      <c r="I642" s="10" t="s">
        <v>156</v>
      </c>
    </row>
    <row r="643" ht="12.75" customHeight="1">
      <c r="C643" s="71"/>
      <c r="D643" s="102"/>
      <c r="E643" s="3">
        <v>578.0</v>
      </c>
      <c r="F643" s="72"/>
      <c r="H643" s="13"/>
      <c r="I643" s="10" t="s">
        <v>156</v>
      </c>
    </row>
    <row r="644" ht="12.75" customHeight="1">
      <c r="C644" s="71"/>
      <c r="D644" s="102"/>
      <c r="E644" s="3">
        <v>579.0</v>
      </c>
      <c r="F644" s="72"/>
      <c r="H644" s="13"/>
      <c r="I644" s="10" t="s">
        <v>156</v>
      </c>
    </row>
    <row r="645" ht="12.75" customHeight="1">
      <c r="C645" s="71"/>
      <c r="D645" s="102"/>
      <c r="E645" s="3">
        <v>580.0</v>
      </c>
      <c r="F645" s="72"/>
      <c r="H645" s="13"/>
      <c r="I645" s="10" t="s">
        <v>156</v>
      </c>
    </row>
    <row r="646" ht="12.75" customHeight="1">
      <c r="C646" s="71"/>
      <c r="D646" s="102"/>
      <c r="E646" s="3">
        <v>581.0</v>
      </c>
      <c r="F646" s="72"/>
      <c r="H646" s="13"/>
      <c r="I646" s="10" t="s">
        <v>156</v>
      </c>
    </row>
    <row r="647" ht="12.75" customHeight="1">
      <c r="C647" s="71"/>
      <c r="D647" s="102"/>
      <c r="E647" s="3">
        <v>582.0</v>
      </c>
      <c r="F647" s="72"/>
      <c r="H647" s="13"/>
      <c r="I647" s="10" t="s">
        <v>156</v>
      </c>
    </row>
    <row r="648" ht="12.75" customHeight="1">
      <c r="C648" s="71"/>
      <c r="D648" s="102"/>
      <c r="E648" s="3">
        <v>583.0</v>
      </c>
      <c r="F648" s="72"/>
      <c r="H648" s="13"/>
      <c r="I648" s="10" t="s">
        <v>156</v>
      </c>
    </row>
    <row r="649" ht="12.75" customHeight="1">
      <c r="C649" s="71"/>
      <c r="D649" s="102"/>
      <c r="E649" s="3">
        <v>584.0</v>
      </c>
      <c r="F649" s="72"/>
      <c r="H649" s="13"/>
      <c r="I649" s="10" t="s">
        <v>156</v>
      </c>
    </row>
    <row r="650" ht="12.75" customHeight="1">
      <c r="C650" s="71"/>
      <c r="D650" s="102"/>
      <c r="E650" s="3">
        <v>585.0</v>
      </c>
      <c r="F650" s="72"/>
      <c r="H650" s="13"/>
      <c r="I650" s="10" t="s">
        <v>156</v>
      </c>
    </row>
    <row r="651" ht="12.75" customHeight="1">
      <c r="C651" s="71"/>
      <c r="D651" s="102"/>
      <c r="E651" s="3">
        <v>586.0</v>
      </c>
      <c r="F651" s="72"/>
      <c r="H651" s="13"/>
      <c r="I651" s="10" t="s">
        <v>156</v>
      </c>
    </row>
    <row r="652" ht="12.75" customHeight="1">
      <c r="C652" s="71"/>
      <c r="D652" s="102"/>
      <c r="E652" s="3">
        <v>587.0</v>
      </c>
      <c r="F652" s="72"/>
      <c r="H652" s="13"/>
      <c r="I652" s="10" t="s">
        <v>156</v>
      </c>
    </row>
    <row r="653" ht="12.75" customHeight="1">
      <c r="C653" s="71"/>
      <c r="D653" s="102"/>
      <c r="E653" s="3">
        <v>588.0</v>
      </c>
      <c r="F653" s="72"/>
      <c r="H653" s="13"/>
      <c r="I653" s="10" t="s">
        <v>156</v>
      </c>
    </row>
    <row r="654" ht="12.75" customHeight="1">
      <c r="C654" s="71"/>
      <c r="D654" s="102"/>
      <c r="E654" s="3">
        <v>589.0</v>
      </c>
      <c r="F654" s="72"/>
      <c r="H654" s="13"/>
      <c r="I654" s="10" t="s">
        <v>156</v>
      </c>
    </row>
    <row r="655" ht="12.75" customHeight="1">
      <c r="C655" s="71"/>
      <c r="D655" s="102"/>
      <c r="E655" s="3">
        <v>590.0</v>
      </c>
      <c r="F655" s="72"/>
      <c r="H655" s="13"/>
      <c r="I655" s="10" t="s">
        <v>156</v>
      </c>
    </row>
    <row r="656" ht="12.75" customHeight="1">
      <c r="C656" s="71"/>
      <c r="D656" s="102"/>
      <c r="E656" s="3">
        <v>591.0</v>
      </c>
      <c r="F656" s="72"/>
      <c r="H656" s="13"/>
      <c r="I656" s="10" t="s">
        <v>156</v>
      </c>
    </row>
    <row r="657" ht="12.75" customHeight="1">
      <c r="C657" s="71"/>
      <c r="D657" s="102"/>
      <c r="E657" s="3">
        <v>592.0</v>
      </c>
      <c r="F657" s="72"/>
      <c r="H657" s="13"/>
      <c r="I657" s="10" t="s">
        <v>156</v>
      </c>
    </row>
    <row r="658" ht="12.75" customHeight="1">
      <c r="C658" s="71"/>
      <c r="D658" s="102"/>
      <c r="E658" s="3">
        <v>593.0</v>
      </c>
      <c r="F658" s="72"/>
      <c r="H658" s="13"/>
      <c r="I658" s="10" t="s">
        <v>156</v>
      </c>
    </row>
    <row r="659" ht="12.75" customHeight="1">
      <c r="C659" s="71"/>
      <c r="D659" s="102"/>
      <c r="E659" s="3">
        <v>594.0</v>
      </c>
      <c r="F659" s="72"/>
      <c r="H659" s="13"/>
      <c r="I659" s="10" t="s">
        <v>156</v>
      </c>
    </row>
    <row r="660" ht="12.75" customHeight="1">
      <c r="C660" s="71"/>
      <c r="D660" s="102"/>
      <c r="E660" s="3">
        <v>595.0</v>
      </c>
      <c r="F660" s="72"/>
      <c r="H660" s="13"/>
      <c r="I660" s="10" t="s">
        <v>156</v>
      </c>
    </row>
    <row r="661" ht="12.75" customHeight="1">
      <c r="C661" s="71"/>
      <c r="D661" s="102"/>
      <c r="E661" s="3">
        <v>596.0</v>
      </c>
      <c r="F661" s="72"/>
      <c r="H661" s="13"/>
      <c r="I661" s="10" t="s">
        <v>156</v>
      </c>
    </row>
    <row r="662" ht="12.75" customHeight="1">
      <c r="C662" s="71"/>
      <c r="D662" s="102"/>
      <c r="E662" s="3">
        <v>597.0</v>
      </c>
      <c r="F662" s="72"/>
      <c r="H662" s="13"/>
      <c r="I662" s="10" t="s">
        <v>156</v>
      </c>
    </row>
    <row r="663" ht="12.75" customHeight="1">
      <c r="C663" s="71"/>
      <c r="D663" s="102"/>
      <c r="E663" s="3">
        <v>598.0</v>
      </c>
      <c r="F663" s="72"/>
      <c r="H663" s="13"/>
      <c r="I663" s="10" t="s">
        <v>156</v>
      </c>
    </row>
    <row r="664" ht="12.75" customHeight="1">
      <c r="C664" s="71"/>
      <c r="D664" s="102"/>
      <c r="E664" s="3">
        <v>599.0</v>
      </c>
      <c r="F664" s="72"/>
      <c r="H664" s="13"/>
      <c r="I664" s="10" t="s">
        <v>156</v>
      </c>
    </row>
    <row r="665" ht="12.75" customHeight="1">
      <c r="C665" s="71"/>
      <c r="D665" s="102"/>
      <c r="E665" s="3">
        <v>600.0</v>
      </c>
      <c r="F665" s="72"/>
      <c r="H665" s="13"/>
      <c r="I665" s="10" t="s">
        <v>156</v>
      </c>
    </row>
    <row r="666" ht="12.75" customHeight="1">
      <c r="C666" s="71"/>
      <c r="D666" s="102"/>
      <c r="E666" s="3">
        <v>601.0</v>
      </c>
      <c r="F666" s="72"/>
      <c r="H666" s="13"/>
      <c r="I666" s="10" t="s">
        <v>156</v>
      </c>
    </row>
    <row r="667" ht="12.75" customHeight="1">
      <c r="C667" s="71"/>
      <c r="D667" s="102"/>
      <c r="E667" s="3">
        <v>602.0</v>
      </c>
      <c r="F667" s="72"/>
      <c r="H667" s="13"/>
      <c r="I667" s="10" t="s">
        <v>156</v>
      </c>
    </row>
    <row r="668" ht="12.75" customHeight="1">
      <c r="C668" s="71"/>
      <c r="D668" s="102"/>
      <c r="E668" s="3">
        <v>603.0</v>
      </c>
      <c r="F668" s="72"/>
      <c r="H668" s="13"/>
      <c r="I668" s="10" t="s">
        <v>156</v>
      </c>
    </row>
    <row r="669" ht="12.75" customHeight="1">
      <c r="C669" s="71"/>
      <c r="D669" s="102"/>
      <c r="E669" s="3">
        <v>604.0</v>
      </c>
      <c r="F669" s="72"/>
      <c r="H669" s="13"/>
      <c r="I669" s="10" t="s">
        <v>156</v>
      </c>
    </row>
    <row r="670" ht="12.75" customHeight="1">
      <c r="C670" s="71"/>
      <c r="D670" s="102"/>
      <c r="E670" s="3">
        <v>605.0</v>
      </c>
      <c r="F670" s="72"/>
      <c r="H670" s="13"/>
      <c r="I670" s="10" t="s">
        <v>156</v>
      </c>
    </row>
    <row r="671" ht="12.75" customHeight="1">
      <c r="C671" s="71"/>
      <c r="D671" s="102"/>
      <c r="E671" s="3">
        <v>606.0</v>
      </c>
      <c r="F671" s="72"/>
      <c r="H671" s="13"/>
      <c r="I671" s="10" t="s">
        <v>156</v>
      </c>
    </row>
    <row r="672" ht="12.75" customHeight="1">
      <c r="C672" s="71"/>
      <c r="D672" s="102"/>
      <c r="E672" s="3">
        <v>607.0</v>
      </c>
      <c r="F672" s="72"/>
      <c r="H672" s="13"/>
      <c r="I672" s="10" t="s">
        <v>156</v>
      </c>
    </row>
    <row r="673" ht="12.75" customHeight="1">
      <c r="C673" s="71"/>
      <c r="D673" s="102"/>
      <c r="E673" s="3">
        <v>608.0</v>
      </c>
      <c r="F673" s="72"/>
      <c r="H673" s="13"/>
      <c r="I673" s="10" t="s">
        <v>156</v>
      </c>
    </row>
    <row r="674" ht="12.75" customHeight="1">
      <c r="C674" s="71"/>
      <c r="D674" s="102"/>
      <c r="E674" s="3">
        <v>609.0</v>
      </c>
      <c r="F674" s="72"/>
      <c r="H674" s="13"/>
      <c r="I674" s="10" t="s">
        <v>156</v>
      </c>
    </row>
    <row r="675" ht="12.75" customHeight="1">
      <c r="C675" s="71"/>
      <c r="D675" s="102"/>
      <c r="E675" s="3">
        <v>610.0</v>
      </c>
      <c r="F675" s="72"/>
      <c r="H675" s="13"/>
      <c r="I675" s="10" t="s">
        <v>156</v>
      </c>
    </row>
    <row r="676" ht="12.75" customHeight="1">
      <c r="C676" s="71"/>
      <c r="D676" s="102"/>
      <c r="E676" s="3">
        <v>611.0</v>
      </c>
      <c r="F676" s="72"/>
      <c r="H676" s="13"/>
      <c r="I676" s="10" t="s">
        <v>156</v>
      </c>
    </row>
    <row r="677" ht="12.75" customHeight="1">
      <c r="C677" s="71"/>
      <c r="D677" s="102"/>
      <c r="E677" s="3">
        <v>612.0</v>
      </c>
      <c r="F677" s="72"/>
      <c r="H677" s="13"/>
      <c r="I677" s="10" t="s">
        <v>156</v>
      </c>
    </row>
    <row r="678" ht="12.75" customHeight="1">
      <c r="C678" s="71"/>
      <c r="D678" s="102"/>
      <c r="E678" s="3">
        <v>613.0</v>
      </c>
      <c r="F678" s="72"/>
      <c r="H678" s="13"/>
      <c r="I678" s="10" t="s">
        <v>156</v>
      </c>
    </row>
    <row r="679" ht="12.75" customHeight="1">
      <c r="C679" s="71"/>
      <c r="D679" s="102"/>
      <c r="E679" s="3">
        <v>614.0</v>
      </c>
      <c r="F679" s="72"/>
      <c r="H679" s="13"/>
      <c r="I679" s="10" t="s">
        <v>156</v>
      </c>
    </row>
    <row r="680" ht="12.75" customHeight="1">
      <c r="C680" s="71"/>
      <c r="D680" s="102"/>
      <c r="E680" s="3">
        <v>615.0</v>
      </c>
      <c r="F680" s="72"/>
      <c r="H680" s="13"/>
      <c r="I680" s="10" t="s">
        <v>156</v>
      </c>
    </row>
    <row r="681" ht="12.75" customHeight="1">
      <c r="C681" s="71"/>
      <c r="D681" s="102"/>
      <c r="E681" s="3">
        <v>616.0</v>
      </c>
      <c r="F681" s="72"/>
      <c r="H681" s="13"/>
      <c r="I681" s="10" t="s">
        <v>156</v>
      </c>
    </row>
    <row r="682" ht="12.75" customHeight="1">
      <c r="C682" s="71"/>
      <c r="D682" s="102"/>
      <c r="E682" s="3">
        <v>617.0</v>
      </c>
      <c r="F682" s="72"/>
      <c r="H682" s="13"/>
      <c r="I682" s="10" t="s">
        <v>156</v>
      </c>
    </row>
    <row r="683" ht="12.75" customHeight="1">
      <c r="C683" s="71"/>
      <c r="D683" s="102"/>
      <c r="E683" s="3">
        <v>618.0</v>
      </c>
      <c r="F683" s="72"/>
      <c r="H683" s="13"/>
      <c r="I683" s="10" t="s">
        <v>156</v>
      </c>
    </row>
    <row r="684" ht="12.75" customHeight="1">
      <c r="C684" s="71"/>
      <c r="D684" s="102"/>
      <c r="E684" s="3">
        <v>619.0</v>
      </c>
      <c r="F684" s="72"/>
      <c r="H684" s="13"/>
      <c r="I684" s="10" t="s">
        <v>156</v>
      </c>
    </row>
    <row r="685" ht="12.75" customHeight="1">
      <c r="C685" s="71"/>
      <c r="D685" s="102"/>
      <c r="E685" s="3">
        <v>620.0</v>
      </c>
      <c r="F685" s="72"/>
      <c r="H685" s="13"/>
      <c r="I685" s="10" t="s">
        <v>156</v>
      </c>
    </row>
    <row r="686" ht="12.75" customHeight="1">
      <c r="C686" s="71"/>
      <c r="D686" s="102"/>
      <c r="E686" s="3">
        <v>621.0</v>
      </c>
      <c r="F686" s="72"/>
      <c r="H686" s="13"/>
      <c r="I686" s="10" t="s">
        <v>156</v>
      </c>
    </row>
    <row r="687" ht="12.75" customHeight="1">
      <c r="C687" s="71"/>
      <c r="D687" s="102"/>
      <c r="E687" s="3">
        <v>622.0</v>
      </c>
      <c r="F687" s="72"/>
      <c r="H687" s="13"/>
      <c r="I687" s="10" t="s">
        <v>156</v>
      </c>
    </row>
    <row r="688" ht="12.75" customHeight="1">
      <c r="C688" s="71"/>
      <c r="D688" s="102"/>
      <c r="E688" s="3">
        <v>623.0</v>
      </c>
      <c r="F688" s="72"/>
      <c r="H688" s="13"/>
      <c r="I688" s="10" t="s">
        <v>156</v>
      </c>
    </row>
    <row r="689" ht="12.75" customHeight="1">
      <c r="C689" s="71"/>
      <c r="D689" s="102"/>
      <c r="E689" s="3">
        <v>624.0</v>
      </c>
      <c r="F689" s="72"/>
      <c r="H689" s="13"/>
      <c r="I689" s="10" t="s">
        <v>156</v>
      </c>
    </row>
    <row r="690" ht="12.75" customHeight="1">
      <c r="C690" s="71"/>
      <c r="D690" s="102"/>
      <c r="E690" s="3">
        <v>625.0</v>
      </c>
      <c r="F690" s="72"/>
      <c r="H690" s="13"/>
      <c r="I690" s="10" t="s">
        <v>156</v>
      </c>
    </row>
    <row r="691" ht="12.75" customHeight="1">
      <c r="C691" s="71"/>
      <c r="D691" s="102"/>
      <c r="E691" s="3">
        <v>626.0</v>
      </c>
      <c r="F691" s="72"/>
      <c r="H691" s="13"/>
      <c r="I691" s="10" t="s">
        <v>156</v>
      </c>
    </row>
    <row r="692" ht="12.75" customHeight="1">
      <c r="C692" s="71"/>
      <c r="D692" s="102"/>
      <c r="E692" s="3">
        <v>627.0</v>
      </c>
      <c r="F692" s="72"/>
      <c r="H692" s="13"/>
      <c r="I692" s="10" t="s">
        <v>156</v>
      </c>
    </row>
    <row r="693" ht="12.75" customHeight="1">
      <c r="C693" s="71"/>
      <c r="D693" s="102"/>
      <c r="E693" s="3">
        <v>628.0</v>
      </c>
      <c r="F693" s="72"/>
      <c r="H693" s="13"/>
      <c r="I693" s="10" t="s">
        <v>156</v>
      </c>
    </row>
    <row r="694" ht="12.75" customHeight="1">
      <c r="C694" s="71"/>
      <c r="D694" s="102"/>
      <c r="E694" s="3">
        <v>629.0</v>
      </c>
      <c r="F694" s="72"/>
      <c r="H694" s="13"/>
      <c r="I694" s="10" t="s">
        <v>156</v>
      </c>
    </row>
    <row r="695" ht="12.75" customHeight="1">
      <c r="C695" s="71"/>
      <c r="D695" s="102"/>
      <c r="E695" s="3">
        <v>630.0</v>
      </c>
      <c r="F695" s="72"/>
      <c r="H695" s="13"/>
      <c r="I695" s="10" t="s">
        <v>156</v>
      </c>
    </row>
    <row r="696" ht="12.75" customHeight="1">
      <c r="C696" s="71"/>
      <c r="D696" s="102"/>
      <c r="E696" s="3">
        <v>631.0</v>
      </c>
      <c r="F696" s="72"/>
      <c r="H696" s="13"/>
      <c r="I696" s="10" t="s">
        <v>156</v>
      </c>
    </row>
    <row r="697" ht="12.75" customHeight="1">
      <c r="C697" s="71"/>
      <c r="D697" s="102"/>
      <c r="E697" s="3">
        <v>632.0</v>
      </c>
      <c r="F697" s="72"/>
      <c r="H697" s="13"/>
      <c r="I697" s="10" t="s">
        <v>156</v>
      </c>
    </row>
    <row r="698" ht="12.75" customHeight="1">
      <c r="C698" s="71"/>
      <c r="D698" s="102"/>
      <c r="E698" s="3">
        <v>633.0</v>
      </c>
      <c r="F698" s="72"/>
      <c r="H698" s="13"/>
      <c r="I698" s="10" t="s">
        <v>156</v>
      </c>
    </row>
    <row r="699" ht="12.75" customHeight="1">
      <c r="C699" s="71"/>
      <c r="D699" s="102"/>
      <c r="E699" s="3">
        <v>634.0</v>
      </c>
      <c r="F699" s="72"/>
      <c r="H699" s="13"/>
      <c r="I699" s="10" t="s">
        <v>156</v>
      </c>
    </row>
    <row r="700" ht="12.75" customHeight="1">
      <c r="C700" s="71"/>
      <c r="D700" s="102"/>
      <c r="E700" s="3">
        <v>635.0</v>
      </c>
      <c r="F700" s="72"/>
      <c r="H700" s="13"/>
      <c r="I700" s="10" t="s">
        <v>156</v>
      </c>
    </row>
    <row r="701" ht="12.75" customHeight="1">
      <c r="C701" s="71"/>
      <c r="D701" s="102"/>
      <c r="E701" s="3">
        <v>636.0</v>
      </c>
      <c r="F701" s="72"/>
      <c r="H701" s="13"/>
      <c r="I701" s="10" t="s">
        <v>156</v>
      </c>
    </row>
    <row r="702" ht="12.75" customHeight="1">
      <c r="C702" s="71"/>
      <c r="D702" s="102"/>
      <c r="E702" s="3">
        <v>637.0</v>
      </c>
      <c r="F702" s="72"/>
      <c r="H702" s="13"/>
      <c r="I702" s="10" t="s">
        <v>156</v>
      </c>
    </row>
    <row r="703" ht="12.75" customHeight="1">
      <c r="C703" s="71"/>
      <c r="D703" s="102"/>
      <c r="E703" s="3">
        <v>638.0</v>
      </c>
      <c r="F703" s="72"/>
      <c r="H703" s="13"/>
      <c r="I703" s="10" t="s">
        <v>156</v>
      </c>
    </row>
    <row r="704" ht="12.75" customHeight="1">
      <c r="C704" s="71"/>
      <c r="D704" s="102"/>
      <c r="E704" s="3">
        <v>639.0</v>
      </c>
      <c r="F704" s="72"/>
      <c r="H704" s="13"/>
      <c r="I704" s="10" t="s">
        <v>156</v>
      </c>
    </row>
    <row r="705" ht="12.75" customHeight="1">
      <c r="C705" s="71"/>
      <c r="D705" s="102"/>
      <c r="E705" s="3">
        <v>640.0</v>
      </c>
      <c r="F705" s="72"/>
      <c r="H705" s="13"/>
      <c r="I705" s="10" t="s">
        <v>156</v>
      </c>
    </row>
    <row r="706" ht="12.75" customHeight="1">
      <c r="C706" s="71"/>
      <c r="D706" s="102"/>
      <c r="E706" s="3">
        <v>641.0</v>
      </c>
      <c r="F706" s="72"/>
      <c r="H706" s="13"/>
      <c r="I706" s="10" t="s">
        <v>156</v>
      </c>
    </row>
    <row r="707" ht="12.75" customHeight="1">
      <c r="C707" s="71"/>
      <c r="D707" s="102"/>
      <c r="E707" s="3">
        <v>642.0</v>
      </c>
      <c r="F707" s="72"/>
      <c r="H707" s="13"/>
      <c r="I707" s="10" t="s">
        <v>156</v>
      </c>
    </row>
    <row r="708" ht="12.75" customHeight="1">
      <c r="C708" s="71"/>
      <c r="D708" s="102"/>
      <c r="E708" s="3">
        <v>643.0</v>
      </c>
      <c r="F708" s="72"/>
      <c r="H708" s="13"/>
      <c r="I708" s="10" t="s">
        <v>156</v>
      </c>
    </row>
    <row r="709" ht="12.75" customHeight="1">
      <c r="C709" s="71"/>
      <c r="D709" s="102"/>
      <c r="E709" s="3">
        <v>644.0</v>
      </c>
      <c r="F709" s="72"/>
      <c r="H709" s="13"/>
      <c r="I709" s="10" t="s">
        <v>156</v>
      </c>
    </row>
    <row r="710" ht="12.75" customHeight="1">
      <c r="C710" s="71"/>
      <c r="D710" s="102"/>
      <c r="E710" s="3">
        <v>645.0</v>
      </c>
      <c r="F710" s="72"/>
      <c r="H710" s="13"/>
      <c r="I710" s="10" t="s">
        <v>156</v>
      </c>
    </row>
    <row r="711" ht="12.75" customHeight="1">
      <c r="C711" s="71"/>
      <c r="D711" s="102"/>
      <c r="E711" s="3">
        <v>646.0</v>
      </c>
      <c r="F711" s="72"/>
      <c r="H711" s="13"/>
      <c r="I711" s="10" t="s">
        <v>156</v>
      </c>
    </row>
    <row r="712" ht="12.75" customHeight="1">
      <c r="C712" s="71"/>
      <c r="D712" s="102"/>
      <c r="E712" s="3">
        <v>647.0</v>
      </c>
      <c r="F712" s="72"/>
      <c r="H712" s="13"/>
      <c r="I712" s="10" t="s">
        <v>156</v>
      </c>
    </row>
    <row r="713" ht="12.75" customHeight="1">
      <c r="C713" s="71"/>
      <c r="D713" s="102"/>
      <c r="E713" s="3">
        <v>648.0</v>
      </c>
      <c r="F713" s="72"/>
      <c r="H713" s="13"/>
      <c r="I713" s="10" t="s">
        <v>156</v>
      </c>
    </row>
    <row r="714" ht="12.75" customHeight="1">
      <c r="C714" s="71"/>
      <c r="D714" s="102"/>
      <c r="E714" s="3">
        <v>649.0</v>
      </c>
      <c r="F714" s="72"/>
      <c r="H714" s="13"/>
      <c r="I714" s="10" t="s">
        <v>156</v>
      </c>
    </row>
    <row r="715" ht="12.75" customHeight="1">
      <c r="C715" s="71"/>
      <c r="D715" s="102"/>
      <c r="E715" s="3">
        <v>650.0</v>
      </c>
      <c r="F715" s="72"/>
      <c r="H715" s="13"/>
      <c r="I715" s="10" t="s">
        <v>156</v>
      </c>
    </row>
    <row r="716" ht="12.75" customHeight="1">
      <c r="C716" s="71"/>
      <c r="D716" s="102"/>
      <c r="E716" s="3">
        <v>651.0</v>
      </c>
      <c r="F716" s="72"/>
      <c r="H716" s="13"/>
      <c r="I716" s="10" t="s">
        <v>156</v>
      </c>
    </row>
    <row r="717" ht="12.75" customHeight="1">
      <c r="C717" s="71"/>
      <c r="D717" s="102"/>
      <c r="E717" s="3">
        <v>652.0</v>
      </c>
      <c r="F717" s="72"/>
      <c r="H717" s="13"/>
      <c r="I717" s="10" t="s">
        <v>156</v>
      </c>
    </row>
    <row r="718" ht="12.75" customHeight="1">
      <c r="C718" s="71"/>
      <c r="D718" s="102"/>
      <c r="E718" s="3">
        <v>653.0</v>
      </c>
      <c r="F718" s="72"/>
      <c r="H718" s="13"/>
      <c r="I718" s="10" t="s">
        <v>156</v>
      </c>
    </row>
    <row r="719" ht="12.75" customHeight="1">
      <c r="C719" s="71"/>
      <c r="D719" s="102"/>
      <c r="E719" s="3">
        <v>654.0</v>
      </c>
      <c r="F719" s="72"/>
      <c r="H719" s="13"/>
      <c r="I719" s="10" t="s">
        <v>156</v>
      </c>
    </row>
    <row r="720" ht="12.75" customHeight="1">
      <c r="C720" s="71"/>
      <c r="D720" s="102"/>
      <c r="E720" s="3">
        <v>655.0</v>
      </c>
      <c r="F720" s="72"/>
      <c r="H720" s="13"/>
      <c r="I720" s="10" t="s">
        <v>156</v>
      </c>
    </row>
    <row r="721" ht="12.75" customHeight="1">
      <c r="C721" s="71"/>
      <c r="D721" s="102"/>
      <c r="E721" s="3">
        <v>656.0</v>
      </c>
      <c r="F721" s="72"/>
      <c r="H721" s="13"/>
      <c r="I721" s="10" t="s">
        <v>156</v>
      </c>
    </row>
    <row r="722" ht="12.75" customHeight="1">
      <c r="C722" s="71"/>
      <c r="D722" s="102"/>
      <c r="E722" s="3">
        <v>657.0</v>
      </c>
      <c r="F722" s="72"/>
      <c r="H722" s="13"/>
      <c r="I722" s="10" t="s">
        <v>156</v>
      </c>
    </row>
    <row r="723" ht="12.75" customHeight="1">
      <c r="C723" s="71"/>
      <c r="D723" s="102"/>
      <c r="E723" s="3">
        <v>658.0</v>
      </c>
      <c r="F723" s="72"/>
      <c r="H723" s="13"/>
      <c r="I723" s="10" t="s">
        <v>156</v>
      </c>
    </row>
    <row r="724" ht="12.75" customHeight="1">
      <c r="C724" s="71"/>
      <c r="D724" s="102"/>
      <c r="E724" s="3">
        <v>659.0</v>
      </c>
      <c r="F724" s="72"/>
      <c r="H724" s="13"/>
      <c r="I724" s="10" t="s">
        <v>156</v>
      </c>
    </row>
    <row r="725" ht="12.75" customHeight="1">
      <c r="C725" s="71"/>
      <c r="D725" s="102"/>
      <c r="E725" s="3">
        <v>660.0</v>
      </c>
      <c r="F725" s="72"/>
      <c r="H725" s="13"/>
      <c r="I725" s="10" t="s">
        <v>156</v>
      </c>
    </row>
    <row r="726" ht="12.75" customHeight="1">
      <c r="C726" s="71"/>
      <c r="D726" s="102"/>
      <c r="E726" s="3">
        <v>661.0</v>
      </c>
      <c r="F726" s="72"/>
      <c r="H726" s="13"/>
      <c r="I726" s="10" t="s">
        <v>156</v>
      </c>
    </row>
    <row r="727" ht="12.75" customHeight="1">
      <c r="C727" s="71"/>
      <c r="D727" s="102"/>
      <c r="E727" s="3">
        <v>662.0</v>
      </c>
      <c r="F727" s="72"/>
      <c r="H727" s="13"/>
      <c r="I727" s="10" t="s">
        <v>156</v>
      </c>
    </row>
    <row r="728" ht="12.75" customHeight="1">
      <c r="C728" s="71"/>
      <c r="D728" s="102"/>
      <c r="E728" s="3">
        <v>663.0</v>
      </c>
      <c r="F728" s="72"/>
      <c r="H728" s="13"/>
      <c r="I728" s="10" t="s">
        <v>156</v>
      </c>
    </row>
    <row r="729" ht="12.75" customHeight="1">
      <c r="C729" s="71"/>
      <c r="D729" s="102"/>
      <c r="E729" s="3">
        <v>664.0</v>
      </c>
      <c r="F729" s="72"/>
      <c r="H729" s="13"/>
      <c r="I729" s="10" t="s">
        <v>156</v>
      </c>
    </row>
    <row r="730" ht="12.75" customHeight="1">
      <c r="C730" s="71"/>
      <c r="D730" s="102"/>
      <c r="E730" s="3">
        <v>665.0</v>
      </c>
      <c r="F730" s="72"/>
      <c r="H730" s="13"/>
      <c r="I730" s="10" t="s">
        <v>156</v>
      </c>
    </row>
    <row r="731" ht="12.75" customHeight="1">
      <c r="C731" s="71"/>
      <c r="D731" s="102"/>
      <c r="E731" s="3">
        <v>666.0</v>
      </c>
      <c r="F731" s="72"/>
      <c r="H731" s="13"/>
      <c r="I731" s="10" t="s">
        <v>156</v>
      </c>
    </row>
    <row r="732" ht="12.75" customHeight="1">
      <c r="C732" s="71"/>
      <c r="D732" s="102"/>
      <c r="E732" s="3">
        <v>667.0</v>
      </c>
      <c r="F732" s="72"/>
      <c r="H732" s="13"/>
      <c r="I732" s="10" t="s">
        <v>156</v>
      </c>
    </row>
    <row r="733" ht="12.75" customHeight="1">
      <c r="C733" s="71"/>
      <c r="D733" s="102"/>
      <c r="E733" s="3">
        <v>668.0</v>
      </c>
      <c r="F733" s="72"/>
      <c r="H733" s="13"/>
      <c r="I733" s="10" t="s">
        <v>156</v>
      </c>
    </row>
    <row r="734" ht="12.75" customHeight="1">
      <c r="C734" s="71"/>
      <c r="D734" s="102"/>
      <c r="E734" s="3">
        <v>669.0</v>
      </c>
      <c r="F734" s="72"/>
      <c r="H734" s="13"/>
      <c r="I734" s="10" t="s">
        <v>156</v>
      </c>
    </row>
    <row r="735" ht="12.75" customHeight="1">
      <c r="C735" s="71"/>
      <c r="D735" s="102"/>
      <c r="E735" s="3">
        <v>670.0</v>
      </c>
      <c r="F735" s="72"/>
      <c r="H735" s="13"/>
      <c r="I735" s="10" t="s">
        <v>156</v>
      </c>
    </row>
    <row r="736" ht="12.75" customHeight="1">
      <c r="C736" s="71"/>
      <c r="D736" s="102"/>
      <c r="E736" s="3">
        <v>671.0</v>
      </c>
      <c r="F736" s="72"/>
      <c r="H736" s="13"/>
      <c r="I736" s="10" t="s">
        <v>156</v>
      </c>
    </row>
    <row r="737" ht="12.75" customHeight="1">
      <c r="C737" s="71"/>
      <c r="D737" s="102"/>
      <c r="E737" s="3">
        <v>672.0</v>
      </c>
      <c r="F737" s="72"/>
      <c r="H737" s="13"/>
      <c r="I737" s="10" t="s">
        <v>156</v>
      </c>
    </row>
    <row r="738" ht="12.75" customHeight="1">
      <c r="C738" s="71"/>
      <c r="D738" s="102"/>
      <c r="E738" s="3">
        <v>673.0</v>
      </c>
      <c r="F738" s="72"/>
      <c r="H738" s="13"/>
      <c r="I738" s="10" t="s">
        <v>156</v>
      </c>
    </row>
    <row r="739" ht="12.75" customHeight="1">
      <c r="C739" s="71"/>
      <c r="D739" s="102"/>
      <c r="E739" s="3">
        <v>674.0</v>
      </c>
      <c r="F739" s="72"/>
      <c r="H739" s="13"/>
      <c r="I739" s="10" t="s">
        <v>156</v>
      </c>
    </row>
    <row r="740" ht="12.75" customHeight="1">
      <c r="C740" s="71"/>
      <c r="D740" s="102"/>
      <c r="E740" s="3">
        <v>675.0</v>
      </c>
      <c r="F740" s="72"/>
      <c r="H740" s="13"/>
      <c r="I740" s="10" t="s">
        <v>156</v>
      </c>
    </row>
    <row r="741" ht="12.75" customHeight="1">
      <c r="C741" s="71"/>
      <c r="D741" s="102"/>
      <c r="E741" s="3">
        <v>676.0</v>
      </c>
      <c r="F741" s="72"/>
      <c r="H741" s="13"/>
      <c r="I741" s="10" t="s">
        <v>156</v>
      </c>
    </row>
    <row r="742" ht="12.75" customHeight="1">
      <c r="C742" s="71"/>
      <c r="D742" s="102"/>
      <c r="E742" s="3">
        <v>677.0</v>
      </c>
      <c r="F742" s="72"/>
      <c r="H742" s="13"/>
      <c r="I742" s="10" t="s">
        <v>156</v>
      </c>
    </row>
    <row r="743" ht="12.75" customHeight="1">
      <c r="C743" s="71"/>
      <c r="D743" s="102"/>
      <c r="E743" s="3">
        <v>678.0</v>
      </c>
      <c r="F743" s="72"/>
      <c r="H743" s="13"/>
      <c r="I743" s="10" t="s">
        <v>156</v>
      </c>
    </row>
    <row r="744" ht="12.75" customHeight="1">
      <c r="C744" s="71"/>
      <c r="D744" s="102"/>
      <c r="E744" s="3">
        <v>679.0</v>
      </c>
      <c r="F744" s="72"/>
      <c r="H744" s="13"/>
      <c r="I744" s="10" t="s">
        <v>156</v>
      </c>
    </row>
    <row r="745" ht="12.75" customHeight="1">
      <c r="C745" s="71"/>
      <c r="D745" s="102"/>
      <c r="E745" s="3">
        <v>680.0</v>
      </c>
      <c r="F745" s="72"/>
      <c r="H745" s="13"/>
      <c r="I745" s="10" t="s">
        <v>156</v>
      </c>
    </row>
    <row r="746" ht="12.75" customHeight="1">
      <c r="C746" s="71"/>
      <c r="D746" s="102"/>
      <c r="E746" s="3">
        <v>681.0</v>
      </c>
      <c r="F746" s="72"/>
      <c r="H746" s="13"/>
      <c r="I746" s="10" t="s">
        <v>156</v>
      </c>
    </row>
    <row r="747" ht="12.75" customHeight="1">
      <c r="C747" s="71"/>
      <c r="D747" s="102"/>
      <c r="E747" s="3">
        <v>682.0</v>
      </c>
      <c r="F747" s="72"/>
      <c r="H747" s="13"/>
      <c r="I747" s="10" t="s">
        <v>156</v>
      </c>
    </row>
    <row r="748" ht="12.75" customHeight="1">
      <c r="C748" s="71"/>
      <c r="D748" s="102"/>
      <c r="E748" s="3">
        <v>683.0</v>
      </c>
      <c r="F748" s="72"/>
      <c r="H748" s="13"/>
      <c r="I748" s="10" t="s">
        <v>156</v>
      </c>
    </row>
    <row r="749" ht="12.75" customHeight="1">
      <c r="C749" s="71"/>
      <c r="D749" s="102"/>
      <c r="E749" s="3">
        <v>684.0</v>
      </c>
      <c r="F749" s="72"/>
      <c r="H749" s="13"/>
      <c r="I749" s="10" t="s">
        <v>156</v>
      </c>
    </row>
    <row r="750" ht="12.75" customHeight="1">
      <c r="C750" s="71"/>
      <c r="D750" s="102"/>
      <c r="E750" s="3">
        <v>685.0</v>
      </c>
      <c r="F750" s="72"/>
      <c r="H750" s="13"/>
      <c r="I750" s="10" t="s">
        <v>156</v>
      </c>
    </row>
    <row r="751" ht="12.75" customHeight="1">
      <c r="C751" s="71"/>
      <c r="D751" s="102"/>
      <c r="E751" s="3">
        <v>686.0</v>
      </c>
      <c r="F751" s="72"/>
      <c r="H751" s="13"/>
      <c r="I751" s="10" t="s">
        <v>156</v>
      </c>
    </row>
    <row r="752" ht="12.75" customHeight="1">
      <c r="C752" s="71"/>
      <c r="D752" s="102"/>
      <c r="E752" s="3">
        <v>687.0</v>
      </c>
      <c r="F752" s="72"/>
      <c r="H752" s="13"/>
      <c r="I752" s="10" t="s">
        <v>156</v>
      </c>
    </row>
    <row r="753" ht="12.75" customHeight="1">
      <c r="C753" s="71"/>
      <c r="D753" s="102"/>
      <c r="E753" s="3">
        <v>688.0</v>
      </c>
      <c r="F753" s="72"/>
      <c r="H753" s="13"/>
      <c r="I753" s="10" t="s">
        <v>156</v>
      </c>
    </row>
    <row r="754" ht="12.75" customHeight="1">
      <c r="C754" s="71"/>
      <c r="D754" s="102"/>
      <c r="E754" s="3">
        <v>689.0</v>
      </c>
      <c r="F754" s="72"/>
      <c r="H754" s="13"/>
      <c r="I754" s="10" t="s">
        <v>156</v>
      </c>
    </row>
    <row r="755" ht="12.75" customHeight="1">
      <c r="C755" s="71"/>
      <c r="D755" s="102"/>
      <c r="E755" s="3">
        <v>690.0</v>
      </c>
      <c r="F755" s="72"/>
      <c r="H755" s="13"/>
      <c r="I755" s="10" t="s">
        <v>156</v>
      </c>
    </row>
    <row r="756" ht="12.75" customHeight="1">
      <c r="C756" s="71"/>
      <c r="D756" s="102"/>
      <c r="E756" s="3">
        <v>691.0</v>
      </c>
      <c r="F756" s="72"/>
      <c r="H756" s="13"/>
      <c r="I756" s="10" t="s">
        <v>156</v>
      </c>
    </row>
    <row r="757" ht="12.75" customHeight="1">
      <c r="C757" s="71"/>
      <c r="D757" s="102"/>
      <c r="E757" s="3">
        <v>692.0</v>
      </c>
      <c r="F757" s="72"/>
      <c r="H757" s="13"/>
      <c r="I757" s="10" t="s">
        <v>156</v>
      </c>
    </row>
    <row r="758" ht="12.75" customHeight="1">
      <c r="C758" s="71"/>
      <c r="D758" s="102"/>
      <c r="E758" s="3">
        <v>693.0</v>
      </c>
      <c r="F758" s="72"/>
      <c r="H758" s="13"/>
      <c r="I758" s="10" t="s">
        <v>156</v>
      </c>
    </row>
    <row r="759" ht="12.75" customHeight="1">
      <c r="C759" s="71"/>
      <c r="D759" s="102"/>
      <c r="E759" s="3">
        <v>694.0</v>
      </c>
      <c r="F759" s="72"/>
      <c r="H759" s="13"/>
      <c r="I759" s="10" t="s">
        <v>156</v>
      </c>
    </row>
    <row r="760" ht="12.75" customHeight="1">
      <c r="C760" s="71"/>
      <c r="D760" s="102"/>
      <c r="E760" s="3">
        <v>695.0</v>
      </c>
      <c r="F760" s="72"/>
      <c r="H760" s="13"/>
      <c r="I760" s="10" t="s">
        <v>156</v>
      </c>
    </row>
    <row r="761" ht="12.75" customHeight="1">
      <c r="C761" s="71"/>
      <c r="D761" s="102"/>
      <c r="E761" s="3">
        <v>696.0</v>
      </c>
      <c r="F761" s="72"/>
      <c r="H761" s="13"/>
      <c r="I761" s="10" t="s">
        <v>156</v>
      </c>
    </row>
    <row r="762" ht="12.75" customHeight="1">
      <c r="C762" s="71"/>
      <c r="D762" s="102"/>
      <c r="E762" s="3">
        <v>697.0</v>
      </c>
      <c r="F762" s="72"/>
      <c r="H762" s="13"/>
      <c r="I762" s="10" t="s">
        <v>156</v>
      </c>
    </row>
    <row r="763" ht="12.75" customHeight="1">
      <c r="C763" s="71"/>
      <c r="D763" s="102"/>
      <c r="E763" s="3">
        <v>698.0</v>
      </c>
      <c r="F763" s="72"/>
      <c r="H763" s="13"/>
      <c r="I763" s="10" t="s">
        <v>156</v>
      </c>
    </row>
    <row r="764" ht="12.75" customHeight="1">
      <c r="C764" s="71"/>
      <c r="D764" s="102"/>
      <c r="E764" s="3">
        <v>699.0</v>
      </c>
      <c r="F764" s="72"/>
      <c r="H764" s="13"/>
      <c r="I764" s="10" t="s">
        <v>156</v>
      </c>
    </row>
    <row r="765" ht="12.75" customHeight="1">
      <c r="C765" s="71"/>
      <c r="D765" s="102"/>
      <c r="E765" s="3">
        <v>700.0</v>
      </c>
      <c r="F765" s="72"/>
      <c r="H765" s="13"/>
      <c r="I765" s="10" t="s">
        <v>156</v>
      </c>
    </row>
    <row r="766" ht="12.75" customHeight="1">
      <c r="C766" s="71"/>
      <c r="D766" s="102"/>
      <c r="E766" s="3">
        <v>701.0</v>
      </c>
      <c r="F766" s="72"/>
      <c r="H766" s="13"/>
      <c r="I766" s="10" t="s">
        <v>156</v>
      </c>
    </row>
    <row r="767" ht="12.75" customHeight="1">
      <c r="C767" s="71"/>
      <c r="D767" s="102"/>
      <c r="E767" s="3">
        <v>702.0</v>
      </c>
      <c r="F767" s="72"/>
      <c r="H767" s="13"/>
      <c r="I767" s="10" t="s">
        <v>156</v>
      </c>
    </row>
    <row r="768" ht="12.75" customHeight="1">
      <c r="C768" s="71"/>
      <c r="D768" s="102"/>
      <c r="E768" s="3">
        <v>703.0</v>
      </c>
      <c r="F768" s="72"/>
      <c r="H768" s="13"/>
      <c r="I768" s="10" t="s">
        <v>156</v>
      </c>
    </row>
    <row r="769" ht="12.75" customHeight="1">
      <c r="C769" s="71"/>
      <c r="D769" s="102"/>
      <c r="E769" s="3">
        <v>704.0</v>
      </c>
      <c r="F769" s="72"/>
      <c r="H769" s="13"/>
      <c r="I769" s="10" t="s">
        <v>156</v>
      </c>
    </row>
    <row r="770" ht="12.75" customHeight="1">
      <c r="C770" s="71"/>
      <c r="D770" s="102"/>
      <c r="E770" s="3">
        <v>705.0</v>
      </c>
      <c r="F770" s="72"/>
      <c r="H770" s="13"/>
      <c r="I770" s="10" t="s">
        <v>156</v>
      </c>
    </row>
    <row r="771" ht="12.75" customHeight="1">
      <c r="C771" s="71"/>
      <c r="D771" s="102"/>
      <c r="E771" s="3">
        <v>706.0</v>
      </c>
      <c r="F771" s="72"/>
      <c r="H771" s="13"/>
      <c r="I771" s="10" t="s">
        <v>156</v>
      </c>
    </row>
    <row r="772" ht="12.75" customHeight="1">
      <c r="C772" s="71"/>
      <c r="D772" s="102"/>
      <c r="E772" s="3">
        <v>707.0</v>
      </c>
      <c r="F772" s="72"/>
      <c r="H772" s="13"/>
      <c r="I772" s="10" t="s">
        <v>156</v>
      </c>
    </row>
    <row r="773" ht="12.75" customHeight="1">
      <c r="C773" s="71"/>
      <c r="D773" s="102"/>
      <c r="E773" s="3">
        <v>708.0</v>
      </c>
      <c r="F773" s="72"/>
      <c r="H773" s="13"/>
      <c r="I773" s="10" t="s">
        <v>156</v>
      </c>
    </row>
    <row r="774" ht="12.75" customHeight="1">
      <c r="C774" s="71"/>
      <c r="D774" s="102"/>
      <c r="E774" s="3">
        <v>709.0</v>
      </c>
      <c r="F774" s="72"/>
      <c r="H774" s="13"/>
      <c r="I774" s="10" t="s">
        <v>156</v>
      </c>
    </row>
    <row r="775" ht="12.75" customHeight="1">
      <c r="C775" s="71"/>
      <c r="D775" s="102"/>
      <c r="E775" s="3">
        <v>710.0</v>
      </c>
      <c r="F775" s="72"/>
      <c r="H775" s="13"/>
      <c r="I775" s="10" t="s">
        <v>156</v>
      </c>
    </row>
    <row r="776" ht="12.75" customHeight="1">
      <c r="C776" s="71"/>
      <c r="D776" s="102"/>
      <c r="E776" s="3">
        <v>711.0</v>
      </c>
      <c r="F776" s="72"/>
      <c r="H776" s="13"/>
      <c r="I776" s="10" t="s">
        <v>156</v>
      </c>
    </row>
    <row r="777" ht="12.75" customHeight="1">
      <c r="C777" s="71"/>
      <c r="D777" s="102"/>
      <c r="E777" s="3">
        <v>712.0</v>
      </c>
      <c r="F777" s="72"/>
      <c r="H777" s="13"/>
      <c r="I777" s="10" t="s">
        <v>156</v>
      </c>
    </row>
    <row r="778" ht="12.75" customHeight="1">
      <c r="C778" s="71"/>
      <c r="D778" s="102"/>
      <c r="E778" s="3">
        <v>713.0</v>
      </c>
      <c r="F778" s="72"/>
      <c r="H778" s="13"/>
      <c r="I778" s="10" t="s">
        <v>156</v>
      </c>
    </row>
    <row r="779" ht="12.75" customHeight="1">
      <c r="C779" s="71"/>
      <c r="D779" s="102"/>
      <c r="E779" s="3">
        <v>714.0</v>
      </c>
      <c r="F779" s="72"/>
      <c r="H779" s="13"/>
      <c r="I779" s="10" t="s">
        <v>156</v>
      </c>
    </row>
    <row r="780" ht="12.75" customHeight="1">
      <c r="C780" s="71"/>
      <c r="D780" s="102"/>
      <c r="E780" s="3">
        <v>715.0</v>
      </c>
      <c r="F780" s="72"/>
      <c r="H780" s="13"/>
      <c r="I780" s="10" t="s">
        <v>156</v>
      </c>
    </row>
    <row r="781" ht="12.75" customHeight="1">
      <c r="C781" s="71"/>
      <c r="D781" s="102"/>
      <c r="E781" s="3">
        <v>716.0</v>
      </c>
      <c r="F781" s="72"/>
      <c r="H781" s="13"/>
      <c r="I781" s="10" t="s">
        <v>156</v>
      </c>
    </row>
    <row r="782" ht="12.75" customHeight="1">
      <c r="C782" s="71"/>
      <c r="D782" s="102"/>
      <c r="E782" s="3">
        <v>717.0</v>
      </c>
      <c r="F782" s="72"/>
      <c r="H782" s="13"/>
      <c r="I782" s="10" t="s">
        <v>156</v>
      </c>
    </row>
    <row r="783" ht="12.75" customHeight="1">
      <c r="C783" s="71"/>
      <c r="D783" s="102"/>
      <c r="E783" s="3">
        <v>718.0</v>
      </c>
      <c r="F783" s="72"/>
      <c r="H783" s="13"/>
      <c r="I783" s="10" t="s">
        <v>156</v>
      </c>
    </row>
    <row r="784" ht="12.75" customHeight="1">
      <c r="C784" s="71"/>
      <c r="D784" s="102"/>
      <c r="E784" s="3">
        <v>719.0</v>
      </c>
      <c r="F784" s="72"/>
      <c r="H784" s="13"/>
      <c r="I784" s="10" t="s">
        <v>156</v>
      </c>
    </row>
    <row r="785" ht="12.75" customHeight="1">
      <c r="C785" s="71"/>
      <c r="D785" s="102"/>
      <c r="E785" s="3">
        <v>720.0</v>
      </c>
      <c r="F785" s="72"/>
      <c r="H785" s="13"/>
      <c r="I785" s="10" t="s">
        <v>156</v>
      </c>
    </row>
    <row r="786" ht="12.75" customHeight="1">
      <c r="C786" s="71"/>
      <c r="D786" s="102"/>
      <c r="E786" s="3">
        <v>721.0</v>
      </c>
      <c r="F786" s="72"/>
      <c r="H786" s="13"/>
      <c r="I786" s="10" t="s">
        <v>156</v>
      </c>
    </row>
    <row r="787" ht="12.75" customHeight="1">
      <c r="C787" s="71"/>
      <c r="D787" s="102"/>
      <c r="E787" s="3">
        <v>722.0</v>
      </c>
      <c r="F787" s="72"/>
      <c r="H787" s="13"/>
      <c r="I787" s="10" t="s">
        <v>156</v>
      </c>
    </row>
    <row r="788" ht="12.75" customHeight="1">
      <c r="C788" s="71"/>
      <c r="D788" s="102"/>
      <c r="E788" s="3">
        <v>723.0</v>
      </c>
      <c r="F788" s="72"/>
      <c r="H788" s="13"/>
      <c r="I788" s="10" t="s">
        <v>156</v>
      </c>
    </row>
    <row r="789" ht="12.75" customHeight="1">
      <c r="C789" s="71"/>
      <c r="D789" s="102"/>
      <c r="E789" s="3">
        <v>724.0</v>
      </c>
      <c r="F789" s="72"/>
      <c r="H789" s="13"/>
      <c r="I789" s="10" t="s">
        <v>156</v>
      </c>
    </row>
    <row r="790" ht="12.75" customHeight="1">
      <c r="C790" s="71"/>
      <c r="D790" s="102"/>
      <c r="E790" s="3">
        <v>725.0</v>
      </c>
      <c r="F790" s="72"/>
      <c r="H790" s="13"/>
      <c r="I790" s="10" t="s">
        <v>156</v>
      </c>
    </row>
    <row r="791" ht="12.75" customHeight="1">
      <c r="C791" s="71"/>
      <c r="D791" s="102"/>
      <c r="E791" s="3">
        <v>726.0</v>
      </c>
      <c r="F791" s="72"/>
      <c r="H791" s="13"/>
      <c r="I791" s="10" t="s">
        <v>156</v>
      </c>
    </row>
    <row r="792" ht="12.75" customHeight="1">
      <c r="C792" s="71"/>
      <c r="D792" s="102"/>
      <c r="E792" s="3">
        <v>727.0</v>
      </c>
      <c r="F792" s="72"/>
      <c r="H792" s="13"/>
      <c r="I792" s="10" t="s">
        <v>156</v>
      </c>
    </row>
    <row r="793" ht="12.75" customHeight="1">
      <c r="C793" s="71"/>
      <c r="D793" s="102"/>
      <c r="E793" s="3">
        <v>728.0</v>
      </c>
      <c r="F793" s="72"/>
      <c r="H793" s="13"/>
      <c r="I793" s="10" t="s">
        <v>156</v>
      </c>
    </row>
    <row r="794" ht="12.75" customHeight="1">
      <c r="C794" s="71"/>
      <c r="D794" s="102"/>
      <c r="E794" s="3">
        <v>729.0</v>
      </c>
      <c r="F794" s="72"/>
      <c r="H794" s="13"/>
      <c r="I794" s="10" t="s">
        <v>156</v>
      </c>
    </row>
    <row r="795" ht="12.75" customHeight="1">
      <c r="C795" s="71"/>
      <c r="D795" s="102"/>
      <c r="E795" s="3">
        <v>730.0</v>
      </c>
      <c r="F795" s="72"/>
      <c r="H795" s="13"/>
      <c r="I795" s="10" t="s">
        <v>156</v>
      </c>
    </row>
    <row r="796" ht="12.75" customHeight="1">
      <c r="C796" s="71"/>
      <c r="D796" s="102"/>
      <c r="E796" s="3">
        <v>731.0</v>
      </c>
      <c r="F796" s="72"/>
      <c r="H796" s="13"/>
      <c r="I796" s="10" t="s">
        <v>156</v>
      </c>
    </row>
    <row r="797" ht="12.75" customHeight="1">
      <c r="C797" s="71"/>
      <c r="D797" s="102"/>
      <c r="E797" s="3">
        <v>732.0</v>
      </c>
      <c r="F797" s="72"/>
      <c r="H797" s="13"/>
      <c r="I797" s="10" t="s">
        <v>156</v>
      </c>
    </row>
    <row r="798" ht="12.75" customHeight="1">
      <c r="C798" s="71"/>
      <c r="D798" s="102"/>
      <c r="E798" s="3">
        <v>733.0</v>
      </c>
      <c r="F798" s="72"/>
      <c r="H798" s="13"/>
      <c r="I798" s="10" t="s">
        <v>156</v>
      </c>
    </row>
    <row r="799" ht="12.75" customHeight="1">
      <c r="C799" s="71"/>
      <c r="D799" s="102"/>
      <c r="E799" s="3">
        <v>734.0</v>
      </c>
      <c r="F799" s="72"/>
      <c r="H799" s="13"/>
      <c r="I799" s="10" t="s">
        <v>156</v>
      </c>
    </row>
    <row r="800" ht="12.75" customHeight="1">
      <c r="C800" s="71"/>
      <c r="D800" s="102"/>
      <c r="E800" s="3">
        <v>735.0</v>
      </c>
      <c r="F800" s="72"/>
      <c r="H800" s="13"/>
      <c r="I800" s="10" t="s">
        <v>156</v>
      </c>
    </row>
    <row r="801" ht="12.75" customHeight="1">
      <c r="C801" s="71"/>
      <c r="D801" s="102"/>
      <c r="E801" s="3">
        <v>736.0</v>
      </c>
      <c r="F801" s="72"/>
      <c r="H801" s="13"/>
      <c r="I801" s="10" t="s">
        <v>156</v>
      </c>
    </row>
    <row r="802" ht="12.75" customHeight="1">
      <c r="C802" s="71"/>
      <c r="D802" s="102"/>
      <c r="E802" s="3">
        <v>737.0</v>
      </c>
      <c r="F802" s="72"/>
      <c r="H802" s="13"/>
      <c r="I802" s="10" t="s">
        <v>156</v>
      </c>
    </row>
    <row r="803" ht="12.75" customHeight="1">
      <c r="C803" s="71"/>
      <c r="D803" s="102"/>
      <c r="E803" s="3">
        <v>738.0</v>
      </c>
      <c r="F803" s="72"/>
      <c r="H803" s="13"/>
      <c r="I803" s="10" t="s">
        <v>156</v>
      </c>
    </row>
    <row r="804" ht="12.75" customHeight="1">
      <c r="C804" s="71"/>
      <c r="D804" s="102"/>
      <c r="E804" s="3">
        <v>739.0</v>
      </c>
      <c r="F804" s="72"/>
      <c r="H804" s="13"/>
      <c r="I804" s="10" t="s">
        <v>156</v>
      </c>
    </row>
    <row r="805" ht="12.75" customHeight="1">
      <c r="C805" s="71"/>
      <c r="D805" s="102"/>
      <c r="E805" s="3">
        <v>740.0</v>
      </c>
      <c r="F805" s="72"/>
      <c r="H805" s="13"/>
      <c r="I805" s="10" t="s">
        <v>156</v>
      </c>
    </row>
    <row r="806" ht="12.75" customHeight="1">
      <c r="C806" s="71"/>
      <c r="D806" s="102"/>
      <c r="E806" s="3">
        <v>741.0</v>
      </c>
      <c r="F806" s="72"/>
      <c r="H806" s="13"/>
      <c r="I806" s="10" t="s">
        <v>156</v>
      </c>
    </row>
    <row r="807" ht="12.75" customHeight="1">
      <c r="C807" s="71"/>
      <c r="D807" s="102"/>
      <c r="E807" s="3">
        <v>742.0</v>
      </c>
      <c r="F807" s="72"/>
      <c r="H807" s="13"/>
      <c r="I807" s="10" t="s">
        <v>156</v>
      </c>
    </row>
    <row r="808" ht="12.75" customHeight="1">
      <c r="C808" s="71"/>
      <c r="D808" s="102"/>
      <c r="E808" s="3">
        <v>743.0</v>
      </c>
      <c r="F808" s="72"/>
      <c r="H808" s="13"/>
      <c r="I808" s="10" t="s">
        <v>156</v>
      </c>
    </row>
    <row r="809" ht="12.75" customHeight="1">
      <c r="C809" s="71"/>
      <c r="D809" s="102"/>
      <c r="E809" s="3">
        <v>744.0</v>
      </c>
      <c r="F809" s="72"/>
      <c r="H809" s="13"/>
      <c r="I809" s="10" t="s">
        <v>156</v>
      </c>
    </row>
    <row r="810" ht="12.75" customHeight="1">
      <c r="C810" s="71"/>
      <c r="D810" s="102"/>
      <c r="E810" s="3">
        <v>745.0</v>
      </c>
      <c r="F810" s="72"/>
      <c r="H810" s="13"/>
      <c r="I810" s="10" t="s">
        <v>156</v>
      </c>
    </row>
    <row r="811" ht="12.75" customHeight="1">
      <c r="C811" s="71"/>
      <c r="D811" s="102"/>
      <c r="E811" s="3">
        <v>746.0</v>
      </c>
      <c r="F811" s="72"/>
      <c r="H811" s="13"/>
      <c r="I811" s="10" t="s">
        <v>156</v>
      </c>
    </row>
    <row r="812" ht="12.75" customHeight="1">
      <c r="C812" s="71"/>
      <c r="D812" s="102"/>
      <c r="E812" s="3">
        <v>747.0</v>
      </c>
      <c r="F812" s="72"/>
      <c r="H812" s="13"/>
      <c r="I812" s="10" t="s">
        <v>156</v>
      </c>
    </row>
    <row r="813" ht="12.75" customHeight="1">
      <c r="C813" s="71"/>
      <c r="D813" s="102"/>
      <c r="E813" s="3">
        <v>748.0</v>
      </c>
      <c r="F813" s="72"/>
      <c r="H813" s="13"/>
      <c r="I813" s="10" t="s">
        <v>156</v>
      </c>
    </row>
    <row r="814" ht="12.75" customHeight="1">
      <c r="C814" s="71"/>
      <c r="D814" s="102"/>
      <c r="E814" s="3">
        <v>749.0</v>
      </c>
      <c r="F814" s="72"/>
      <c r="H814" s="13"/>
      <c r="I814" s="10" t="s">
        <v>156</v>
      </c>
    </row>
    <row r="815" ht="12.75" customHeight="1">
      <c r="C815" s="71"/>
      <c r="D815" s="102"/>
      <c r="E815" s="3">
        <v>750.0</v>
      </c>
      <c r="F815" s="72"/>
      <c r="H815" s="13"/>
      <c r="I815" s="10" t="s">
        <v>156</v>
      </c>
    </row>
    <row r="816" ht="12.75" customHeight="1">
      <c r="C816" s="71"/>
      <c r="D816" s="102"/>
      <c r="E816" s="3">
        <v>751.0</v>
      </c>
      <c r="F816" s="72"/>
      <c r="H816" s="13"/>
      <c r="I816" s="10" t="s">
        <v>156</v>
      </c>
    </row>
    <row r="817" ht="12.75" customHeight="1">
      <c r="C817" s="71"/>
      <c r="D817" s="102"/>
      <c r="E817" s="3">
        <v>752.0</v>
      </c>
      <c r="F817" s="72"/>
      <c r="H817" s="13"/>
      <c r="I817" s="10" t="s">
        <v>156</v>
      </c>
    </row>
    <row r="818" ht="12.75" customHeight="1">
      <c r="C818" s="71"/>
      <c r="D818" s="102"/>
      <c r="E818" s="3">
        <v>753.0</v>
      </c>
      <c r="F818" s="72"/>
      <c r="H818" s="13"/>
      <c r="I818" s="10" t="s">
        <v>156</v>
      </c>
    </row>
    <row r="819" ht="12.75" customHeight="1">
      <c r="C819" s="71"/>
      <c r="D819" s="102"/>
      <c r="E819" s="3">
        <v>754.0</v>
      </c>
      <c r="F819" s="72"/>
      <c r="H819" s="13"/>
      <c r="I819" s="10" t="s">
        <v>156</v>
      </c>
    </row>
    <row r="820" ht="12.75" customHeight="1">
      <c r="C820" s="71"/>
      <c r="D820" s="102"/>
      <c r="E820" s="3">
        <v>755.0</v>
      </c>
      <c r="F820" s="72"/>
      <c r="H820" s="13"/>
      <c r="I820" s="10" t="s">
        <v>156</v>
      </c>
    </row>
    <row r="821" ht="12.75" customHeight="1">
      <c r="C821" s="71"/>
      <c r="D821" s="102"/>
      <c r="E821" s="3">
        <v>756.0</v>
      </c>
      <c r="F821" s="72"/>
      <c r="H821" s="13"/>
      <c r="I821" s="10" t="s">
        <v>156</v>
      </c>
    </row>
    <row r="822" ht="12.75" customHeight="1">
      <c r="C822" s="71"/>
      <c r="D822" s="102"/>
      <c r="E822" s="3">
        <v>757.0</v>
      </c>
      <c r="F822" s="72"/>
      <c r="H822" s="13"/>
      <c r="I822" s="10" t="s">
        <v>156</v>
      </c>
    </row>
    <row r="823" ht="12.75" customHeight="1">
      <c r="C823" s="71"/>
      <c r="D823" s="102"/>
      <c r="E823" s="3">
        <v>758.0</v>
      </c>
      <c r="F823" s="72"/>
      <c r="H823" s="13"/>
      <c r="I823" s="10" t="s">
        <v>156</v>
      </c>
    </row>
    <row r="824" ht="12.75" customHeight="1">
      <c r="C824" s="71"/>
      <c r="D824" s="102"/>
      <c r="E824" s="3">
        <v>759.0</v>
      </c>
      <c r="F824" s="72"/>
      <c r="H824" s="13"/>
      <c r="I824" s="10" t="s">
        <v>156</v>
      </c>
    </row>
    <row r="825" ht="12.75" customHeight="1">
      <c r="C825" s="71"/>
      <c r="D825" s="102"/>
      <c r="E825" s="3">
        <v>760.0</v>
      </c>
      <c r="F825" s="72"/>
      <c r="H825" s="13"/>
      <c r="I825" s="10" t="s">
        <v>156</v>
      </c>
    </row>
    <row r="826" ht="12.75" customHeight="1">
      <c r="C826" s="71"/>
      <c r="D826" s="102"/>
      <c r="F826" s="72"/>
      <c r="H826" s="13"/>
    </row>
    <row r="827" ht="12.75" customHeight="1">
      <c r="C827" s="71"/>
      <c r="D827" s="102"/>
      <c r="F827" s="72"/>
      <c r="H827" s="13"/>
    </row>
    <row r="828" ht="12.75" customHeight="1">
      <c r="C828" s="71"/>
      <c r="D828" s="102"/>
      <c r="F828" s="72"/>
      <c r="H828" s="13"/>
    </row>
    <row r="829" ht="12.75" customHeight="1">
      <c r="C829" s="71"/>
      <c r="D829" s="102"/>
      <c r="F829" s="72"/>
      <c r="H829" s="13"/>
    </row>
    <row r="830" ht="12.75" customHeight="1">
      <c r="C830" s="71"/>
      <c r="D830" s="102"/>
      <c r="F830" s="72"/>
      <c r="H830" s="13"/>
    </row>
    <row r="831" ht="12.75" customHeight="1">
      <c r="C831" s="71"/>
      <c r="D831" s="102"/>
      <c r="F831" s="72"/>
      <c r="H831" s="13"/>
    </row>
    <row r="832" ht="12.75" customHeight="1">
      <c r="C832" s="71"/>
      <c r="D832" s="102"/>
      <c r="F832" s="72"/>
      <c r="H832" s="13"/>
    </row>
    <row r="833" ht="12.75" customHeight="1">
      <c r="C833" s="71"/>
      <c r="D833" s="102"/>
      <c r="F833" s="72"/>
      <c r="H833" s="13"/>
    </row>
    <row r="834" ht="12.75" customHeight="1">
      <c r="C834" s="71"/>
      <c r="D834" s="102"/>
      <c r="F834" s="72"/>
      <c r="H834" s="13"/>
    </row>
    <row r="835" ht="12.75" customHeight="1">
      <c r="C835" s="71"/>
      <c r="D835" s="102"/>
      <c r="F835" s="72"/>
      <c r="H835" s="13"/>
    </row>
    <row r="836" ht="12.75" customHeight="1">
      <c r="C836" s="71"/>
      <c r="D836" s="102"/>
      <c r="F836" s="72"/>
      <c r="H836" s="13"/>
    </row>
    <row r="837" ht="12.75" customHeight="1">
      <c r="C837" s="71"/>
      <c r="D837" s="102"/>
      <c r="F837" s="72"/>
      <c r="H837" s="13"/>
    </row>
    <row r="838" ht="12.75" customHeight="1">
      <c r="C838" s="71"/>
      <c r="D838" s="102"/>
      <c r="F838" s="72"/>
      <c r="H838" s="13"/>
    </row>
    <row r="839" ht="12.75" customHeight="1">
      <c r="C839" s="71"/>
      <c r="D839" s="102"/>
      <c r="F839" s="72"/>
      <c r="H839" s="13"/>
    </row>
    <row r="840" ht="12.75" customHeight="1">
      <c r="C840" s="71"/>
      <c r="D840" s="102"/>
      <c r="F840" s="72"/>
      <c r="H840" s="13"/>
    </row>
    <row r="841" ht="12.75" customHeight="1">
      <c r="C841" s="71"/>
      <c r="D841" s="102"/>
      <c r="F841" s="72"/>
      <c r="H841" s="13"/>
    </row>
    <row r="842" ht="12.75" customHeight="1">
      <c r="C842" s="71"/>
      <c r="D842" s="102"/>
      <c r="F842" s="72"/>
      <c r="H842" s="13"/>
    </row>
    <row r="843" ht="12.75" customHeight="1">
      <c r="C843" s="71"/>
      <c r="D843" s="102"/>
      <c r="F843" s="72"/>
      <c r="H843" s="13"/>
    </row>
    <row r="844" ht="12.75" customHeight="1">
      <c r="C844" s="71"/>
      <c r="D844" s="102"/>
      <c r="F844" s="72"/>
      <c r="H844" s="13"/>
    </row>
    <row r="845" ht="12.75" customHeight="1">
      <c r="C845" s="71"/>
      <c r="D845" s="102"/>
      <c r="F845" s="72"/>
      <c r="H845" s="13"/>
    </row>
    <row r="846" ht="12.75" customHeight="1">
      <c r="C846" s="71"/>
      <c r="D846" s="102"/>
      <c r="F846" s="72"/>
      <c r="H846" s="13"/>
    </row>
    <row r="847" ht="12.75" customHeight="1">
      <c r="C847" s="71"/>
      <c r="D847" s="102"/>
      <c r="F847" s="72"/>
      <c r="H847" s="13"/>
    </row>
    <row r="848" ht="12.75" customHeight="1">
      <c r="C848" s="71"/>
      <c r="D848" s="102"/>
      <c r="F848" s="72"/>
      <c r="H848" s="13"/>
    </row>
    <row r="849" ht="12.75" customHeight="1">
      <c r="C849" s="71"/>
      <c r="D849" s="102"/>
      <c r="F849" s="72"/>
      <c r="H849" s="13"/>
    </row>
    <row r="850" ht="12.75" customHeight="1">
      <c r="C850" s="71"/>
      <c r="D850" s="102"/>
      <c r="F850" s="72"/>
      <c r="H850" s="13"/>
    </row>
    <row r="851" ht="12.75" customHeight="1">
      <c r="C851" s="71"/>
      <c r="D851" s="102"/>
      <c r="F851" s="72"/>
      <c r="H851" s="13"/>
    </row>
    <row r="852" ht="12.75" customHeight="1">
      <c r="C852" s="71"/>
      <c r="D852" s="102"/>
      <c r="F852" s="72"/>
      <c r="H852" s="13"/>
    </row>
    <row r="853" ht="12.75" customHeight="1">
      <c r="C853" s="71"/>
      <c r="D853" s="102"/>
      <c r="F853" s="72"/>
      <c r="H853" s="13"/>
    </row>
    <row r="854" ht="12.75" customHeight="1">
      <c r="C854" s="71"/>
      <c r="D854" s="102"/>
      <c r="F854" s="72"/>
      <c r="H854" s="13"/>
    </row>
    <row r="855" ht="12.75" customHeight="1">
      <c r="C855" s="71"/>
      <c r="D855" s="102"/>
      <c r="F855" s="72"/>
      <c r="H855" s="13"/>
    </row>
    <row r="856" ht="12.75" customHeight="1">
      <c r="C856" s="71"/>
      <c r="D856" s="102"/>
      <c r="F856" s="72"/>
      <c r="H856" s="13"/>
    </row>
    <row r="857" ht="12.75" customHeight="1">
      <c r="C857" s="71"/>
      <c r="D857" s="102"/>
      <c r="F857" s="72"/>
      <c r="H857" s="13"/>
    </row>
    <row r="858" ht="12.75" customHeight="1">
      <c r="C858" s="71"/>
      <c r="D858" s="102"/>
      <c r="F858" s="72"/>
      <c r="H858" s="13"/>
    </row>
    <row r="859" ht="12.75" customHeight="1">
      <c r="C859" s="71"/>
      <c r="D859" s="102"/>
      <c r="F859" s="72"/>
      <c r="H859" s="13"/>
    </row>
    <row r="860" ht="12.75" customHeight="1">
      <c r="C860" s="71"/>
      <c r="D860" s="102"/>
      <c r="F860" s="72"/>
      <c r="H860" s="13"/>
    </row>
    <row r="861" ht="12.75" customHeight="1">
      <c r="C861" s="71"/>
      <c r="D861" s="102"/>
      <c r="F861" s="72"/>
      <c r="H861" s="13"/>
    </row>
    <row r="862" ht="12.75" customHeight="1">
      <c r="C862" s="71"/>
      <c r="D862" s="102"/>
      <c r="F862" s="72"/>
      <c r="H862" s="13"/>
    </row>
    <row r="863" ht="12.75" customHeight="1">
      <c r="C863" s="71"/>
      <c r="D863" s="102"/>
      <c r="F863" s="72"/>
      <c r="H863" s="13"/>
    </row>
    <row r="864" ht="12.75" customHeight="1">
      <c r="C864" s="71"/>
      <c r="D864" s="102"/>
      <c r="F864" s="72"/>
      <c r="H864" s="13"/>
    </row>
    <row r="865" ht="12.75" customHeight="1">
      <c r="C865" s="71"/>
      <c r="D865" s="102"/>
      <c r="F865" s="72"/>
      <c r="H865" s="13"/>
    </row>
    <row r="866" ht="12.75" customHeight="1">
      <c r="C866" s="71"/>
      <c r="D866" s="102"/>
      <c r="F866" s="72"/>
      <c r="H866" s="13"/>
    </row>
    <row r="867" ht="12.75" customHeight="1">
      <c r="C867" s="71"/>
      <c r="D867" s="102"/>
      <c r="F867" s="72"/>
      <c r="H867" s="13"/>
    </row>
    <row r="868" ht="12.75" customHeight="1">
      <c r="C868" s="71"/>
      <c r="D868" s="102"/>
      <c r="F868" s="72"/>
      <c r="H868" s="13"/>
    </row>
    <row r="869" ht="12.75" customHeight="1">
      <c r="C869" s="71"/>
      <c r="D869" s="102"/>
      <c r="F869" s="72"/>
      <c r="H869" s="13"/>
    </row>
    <row r="870" ht="12.75" customHeight="1">
      <c r="C870" s="71"/>
      <c r="D870" s="102"/>
      <c r="F870" s="72"/>
      <c r="H870" s="13"/>
    </row>
    <row r="871" ht="12.75" customHeight="1">
      <c r="C871" s="71"/>
      <c r="D871" s="102"/>
      <c r="F871" s="72"/>
      <c r="H871" s="13"/>
    </row>
    <row r="872" ht="12.75" customHeight="1">
      <c r="C872" s="71"/>
      <c r="D872" s="102"/>
      <c r="F872" s="72"/>
      <c r="H872" s="13"/>
    </row>
    <row r="873" ht="12.75" customHeight="1">
      <c r="C873" s="71"/>
      <c r="D873" s="102"/>
      <c r="F873" s="72"/>
      <c r="H873" s="13"/>
    </row>
    <row r="874" ht="12.75" customHeight="1">
      <c r="C874" s="71"/>
      <c r="D874" s="102"/>
      <c r="F874" s="72"/>
      <c r="H874" s="13"/>
    </row>
    <row r="875" ht="12.75" customHeight="1">
      <c r="C875" s="71"/>
      <c r="D875" s="102"/>
      <c r="F875" s="72"/>
      <c r="H875" s="13"/>
    </row>
    <row r="876" ht="12.75" customHeight="1">
      <c r="C876" s="71"/>
      <c r="D876" s="102"/>
      <c r="F876" s="72"/>
      <c r="H876" s="13"/>
    </row>
    <row r="877" ht="12.75" customHeight="1">
      <c r="C877" s="71"/>
      <c r="D877" s="102"/>
      <c r="F877" s="72"/>
      <c r="H877" s="13"/>
    </row>
    <row r="878" ht="12.75" customHeight="1">
      <c r="C878" s="71"/>
      <c r="D878" s="102"/>
      <c r="F878" s="72"/>
      <c r="H878" s="13"/>
    </row>
    <row r="879" ht="12.75" customHeight="1">
      <c r="C879" s="71"/>
      <c r="D879" s="102"/>
      <c r="F879" s="72"/>
      <c r="H879" s="13"/>
    </row>
    <row r="880" ht="12.75" customHeight="1">
      <c r="C880" s="71"/>
      <c r="D880" s="102"/>
      <c r="F880" s="72"/>
      <c r="H880" s="13"/>
    </row>
    <row r="881" ht="12.75" customHeight="1">
      <c r="C881" s="71"/>
      <c r="D881" s="102"/>
      <c r="F881" s="72"/>
      <c r="H881" s="13"/>
    </row>
    <row r="882" ht="12.75" customHeight="1">
      <c r="C882" s="71"/>
      <c r="D882" s="102"/>
      <c r="F882" s="72"/>
      <c r="H882" s="13"/>
    </row>
    <row r="883" ht="12.75" customHeight="1">
      <c r="C883" s="71"/>
      <c r="D883" s="102"/>
      <c r="F883" s="72"/>
      <c r="H883" s="13"/>
    </row>
    <row r="884" ht="12.75" customHeight="1">
      <c r="C884" s="71"/>
      <c r="D884" s="102"/>
      <c r="F884" s="72"/>
      <c r="H884" s="13"/>
    </row>
    <row r="885" ht="12.75" customHeight="1">
      <c r="C885" s="71"/>
      <c r="D885" s="102"/>
      <c r="F885" s="72"/>
      <c r="H885" s="13"/>
    </row>
    <row r="886" ht="12.75" customHeight="1">
      <c r="C886" s="71"/>
      <c r="D886" s="102"/>
      <c r="F886" s="72"/>
      <c r="H886" s="13"/>
    </row>
    <row r="887" ht="12.75" customHeight="1">
      <c r="C887" s="71"/>
      <c r="D887" s="102"/>
      <c r="F887" s="72"/>
      <c r="H887" s="13"/>
    </row>
    <row r="888" ht="12.75" customHeight="1">
      <c r="C888" s="71"/>
      <c r="D888" s="102"/>
      <c r="F888" s="72"/>
      <c r="H888" s="13"/>
    </row>
    <row r="889" ht="12.75" customHeight="1">
      <c r="C889" s="71"/>
      <c r="D889" s="102"/>
      <c r="F889" s="72"/>
      <c r="H889" s="13"/>
    </row>
    <row r="890" ht="12.75" customHeight="1">
      <c r="C890" s="71"/>
      <c r="D890" s="102"/>
      <c r="F890" s="72"/>
      <c r="H890" s="13"/>
    </row>
    <row r="891" ht="12.75" customHeight="1">
      <c r="C891" s="71"/>
      <c r="D891" s="102"/>
      <c r="F891" s="72"/>
      <c r="H891" s="13"/>
    </row>
    <row r="892" ht="12.75" customHeight="1">
      <c r="C892" s="71"/>
      <c r="D892" s="102"/>
      <c r="F892" s="72"/>
      <c r="H892" s="13"/>
    </row>
    <row r="893" ht="12.75" customHeight="1">
      <c r="C893" s="71"/>
      <c r="D893" s="102"/>
      <c r="F893" s="72"/>
      <c r="H893" s="13"/>
    </row>
    <row r="894" ht="12.75" customHeight="1">
      <c r="C894" s="71"/>
      <c r="D894" s="102"/>
      <c r="F894" s="72"/>
      <c r="H894" s="13"/>
    </row>
    <row r="895" ht="12.75" customHeight="1">
      <c r="C895" s="71"/>
      <c r="D895" s="102"/>
      <c r="F895" s="72"/>
      <c r="H895" s="13"/>
    </row>
    <row r="896" ht="12.75" customHeight="1">
      <c r="C896" s="71"/>
      <c r="D896" s="102"/>
      <c r="F896" s="72"/>
      <c r="H896" s="13"/>
    </row>
    <row r="897" ht="12.75" customHeight="1">
      <c r="C897" s="71"/>
      <c r="D897" s="102"/>
      <c r="F897" s="72"/>
      <c r="H897" s="13"/>
    </row>
    <row r="898" ht="12.75" customHeight="1">
      <c r="C898" s="71"/>
      <c r="D898" s="102"/>
      <c r="F898" s="72"/>
      <c r="H898" s="13"/>
    </row>
    <row r="899" ht="12.75" customHeight="1">
      <c r="C899" s="71"/>
      <c r="D899" s="102"/>
      <c r="F899" s="72"/>
      <c r="H899" s="13"/>
    </row>
    <row r="900" ht="12.75" customHeight="1">
      <c r="C900" s="71"/>
      <c r="D900" s="102"/>
      <c r="F900" s="72"/>
      <c r="H900" s="13"/>
    </row>
    <row r="901" ht="12.75" customHeight="1">
      <c r="C901" s="71"/>
      <c r="D901" s="102"/>
      <c r="F901" s="72"/>
      <c r="H901" s="13"/>
    </row>
    <row r="902" ht="12.75" customHeight="1">
      <c r="C902" s="71"/>
      <c r="D902" s="102"/>
      <c r="F902" s="72"/>
      <c r="H902" s="13"/>
    </row>
    <row r="903" ht="12.75" customHeight="1">
      <c r="C903" s="71"/>
      <c r="D903" s="102"/>
      <c r="F903" s="72"/>
      <c r="H903" s="13"/>
    </row>
    <row r="904" ht="12.75" customHeight="1">
      <c r="C904" s="71"/>
      <c r="D904" s="102"/>
      <c r="F904" s="72"/>
      <c r="H904" s="13"/>
    </row>
    <row r="905" ht="12.75" customHeight="1">
      <c r="C905" s="71"/>
      <c r="D905" s="102"/>
      <c r="F905" s="72"/>
      <c r="H905" s="13"/>
    </row>
    <row r="906" ht="12.75" customHeight="1">
      <c r="C906" s="71"/>
      <c r="D906" s="102"/>
      <c r="F906" s="72"/>
      <c r="H906" s="13"/>
    </row>
    <row r="907" ht="12.75" customHeight="1">
      <c r="C907" s="71"/>
      <c r="D907" s="102"/>
      <c r="F907" s="72"/>
      <c r="H907" s="13"/>
    </row>
    <row r="908" ht="12.75" customHeight="1">
      <c r="C908" s="71"/>
      <c r="D908" s="102"/>
      <c r="F908" s="72"/>
      <c r="H908" s="13"/>
    </row>
    <row r="909" ht="12.75" customHeight="1">
      <c r="C909" s="71"/>
      <c r="D909" s="102"/>
      <c r="F909" s="72"/>
      <c r="H909" s="13"/>
    </row>
    <row r="910" ht="12.75" customHeight="1">
      <c r="C910" s="71"/>
      <c r="D910" s="102"/>
      <c r="F910" s="72"/>
      <c r="H910" s="13"/>
    </row>
    <row r="911" ht="12.75" customHeight="1">
      <c r="C911" s="71"/>
      <c r="D911" s="102"/>
      <c r="F911" s="72"/>
      <c r="H911" s="13"/>
    </row>
    <row r="912" ht="12.75" customHeight="1">
      <c r="C912" s="71"/>
      <c r="D912" s="102"/>
      <c r="F912" s="72"/>
      <c r="H912" s="13"/>
    </row>
    <row r="913" ht="12.75" customHeight="1">
      <c r="C913" s="71"/>
      <c r="D913" s="102"/>
      <c r="F913" s="72"/>
      <c r="H913" s="13"/>
    </row>
    <row r="914" ht="12.75" customHeight="1">
      <c r="C914" s="71"/>
      <c r="D914" s="102"/>
      <c r="F914" s="72"/>
      <c r="H914" s="13"/>
    </row>
    <row r="915" ht="12.75" customHeight="1">
      <c r="C915" s="71"/>
      <c r="D915" s="102"/>
      <c r="F915" s="72"/>
      <c r="H915" s="13"/>
    </row>
    <row r="916" ht="12.75" customHeight="1">
      <c r="C916" s="71"/>
      <c r="D916" s="102"/>
      <c r="F916" s="72"/>
      <c r="H916" s="13"/>
    </row>
    <row r="917" ht="12.75" customHeight="1">
      <c r="C917" s="71"/>
      <c r="D917" s="102"/>
      <c r="F917" s="72"/>
      <c r="H917" s="13"/>
    </row>
    <row r="918" ht="12.75" customHeight="1">
      <c r="C918" s="71"/>
      <c r="D918" s="102"/>
      <c r="F918" s="72"/>
      <c r="H918" s="13"/>
    </row>
    <row r="919" ht="12.75" customHeight="1">
      <c r="C919" s="71"/>
      <c r="D919" s="102"/>
      <c r="F919" s="72"/>
      <c r="H919" s="13"/>
    </row>
    <row r="920" ht="12.75" customHeight="1">
      <c r="C920" s="71"/>
      <c r="D920" s="102"/>
      <c r="F920" s="72"/>
      <c r="H920" s="13"/>
    </row>
    <row r="921" ht="12.75" customHeight="1">
      <c r="C921" s="71"/>
      <c r="D921" s="102"/>
      <c r="F921" s="72"/>
      <c r="H921" s="13"/>
    </row>
    <row r="922" ht="12.75" customHeight="1">
      <c r="C922" s="71"/>
      <c r="D922" s="102"/>
      <c r="F922" s="72"/>
      <c r="H922" s="13"/>
    </row>
    <row r="923" ht="12.75" customHeight="1">
      <c r="C923" s="71"/>
      <c r="D923" s="102"/>
      <c r="F923" s="72"/>
      <c r="H923" s="13"/>
    </row>
    <row r="924" ht="12.75" customHeight="1">
      <c r="C924" s="71"/>
      <c r="D924" s="102"/>
      <c r="F924" s="72"/>
      <c r="H924" s="13"/>
    </row>
    <row r="925" ht="12.75" customHeight="1">
      <c r="C925" s="71"/>
      <c r="D925" s="102"/>
      <c r="F925" s="72"/>
      <c r="H925" s="13"/>
    </row>
    <row r="926" ht="12.75" customHeight="1">
      <c r="C926" s="71"/>
      <c r="D926" s="102"/>
      <c r="F926" s="72"/>
      <c r="H926" s="13"/>
    </row>
    <row r="927" ht="12.75" customHeight="1">
      <c r="C927" s="71"/>
      <c r="D927" s="102"/>
      <c r="F927" s="72"/>
      <c r="H927" s="13"/>
    </row>
    <row r="928" ht="12.75" customHeight="1">
      <c r="C928" s="71"/>
      <c r="D928" s="102"/>
      <c r="F928" s="72"/>
      <c r="H928" s="13"/>
    </row>
    <row r="929" ht="12.75" customHeight="1">
      <c r="C929" s="71"/>
      <c r="D929" s="102"/>
      <c r="F929" s="72"/>
      <c r="H929" s="13"/>
    </row>
    <row r="930" ht="12.75" customHeight="1">
      <c r="C930" s="71"/>
      <c r="D930" s="102"/>
      <c r="F930" s="72"/>
      <c r="H930" s="13"/>
    </row>
    <row r="931" ht="12.75" customHeight="1">
      <c r="C931" s="71"/>
      <c r="D931" s="102"/>
      <c r="F931" s="72"/>
      <c r="H931" s="13"/>
    </row>
    <row r="932" ht="12.75" customHeight="1">
      <c r="C932" s="71"/>
      <c r="D932" s="102"/>
      <c r="F932" s="72"/>
      <c r="H932" s="13"/>
    </row>
    <row r="933" ht="12.75" customHeight="1">
      <c r="C933" s="71"/>
      <c r="D933" s="102"/>
      <c r="F933" s="72"/>
      <c r="H933" s="13"/>
    </row>
    <row r="934" ht="12.75" customHeight="1">
      <c r="C934" s="71"/>
      <c r="D934" s="102"/>
      <c r="F934" s="72"/>
      <c r="H934" s="13"/>
    </row>
    <row r="935" ht="12.75" customHeight="1">
      <c r="C935" s="71"/>
      <c r="D935" s="102"/>
      <c r="F935" s="72"/>
      <c r="H935" s="13"/>
    </row>
    <row r="936" ht="12.75" customHeight="1">
      <c r="C936" s="71"/>
      <c r="D936" s="102"/>
      <c r="F936" s="72"/>
      <c r="H936" s="13"/>
    </row>
    <row r="937" ht="12.75" customHeight="1">
      <c r="C937" s="71"/>
      <c r="D937" s="102"/>
      <c r="F937" s="72"/>
      <c r="H937" s="13"/>
    </row>
    <row r="938" ht="12.75" customHeight="1">
      <c r="C938" s="71"/>
      <c r="D938" s="102"/>
      <c r="F938" s="72"/>
      <c r="H938" s="13"/>
    </row>
    <row r="939" ht="12.75" customHeight="1">
      <c r="C939" s="71"/>
      <c r="D939" s="102"/>
      <c r="F939" s="72"/>
      <c r="H939" s="13"/>
    </row>
    <row r="940" ht="12.75" customHeight="1">
      <c r="C940" s="71"/>
      <c r="D940" s="102"/>
      <c r="F940" s="72"/>
      <c r="H940" s="13"/>
    </row>
    <row r="941" ht="12.75" customHeight="1">
      <c r="C941" s="71"/>
      <c r="D941" s="102"/>
      <c r="F941" s="72"/>
      <c r="H941" s="13"/>
    </row>
    <row r="942" ht="12.75" customHeight="1">
      <c r="C942" s="71"/>
      <c r="D942" s="102"/>
      <c r="F942" s="72"/>
      <c r="H942" s="13"/>
    </row>
    <row r="943" ht="12.75" customHeight="1">
      <c r="C943" s="71"/>
      <c r="D943" s="102"/>
      <c r="F943" s="72"/>
      <c r="H943" s="13"/>
    </row>
    <row r="944" ht="12.75" customHeight="1">
      <c r="C944" s="71"/>
      <c r="D944" s="102"/>
      <c r="F944" s="72"/>
      <c r="H944" s="13"/>
    </row>
    <row r="945" ht="12.75" customHeight="1">
      <c r="C945" s="71"/>
      <c r="D945" s="102"/>
      <c r="F945" s="72"/>
      <c r="H945" s="13"/>
    </row>
    <row r="946" ht="12.75" customHeight="1">
      <c r="C946" s="71"/>
      <c r="D946" s="102"/>
      <c r="F946" s="72"/>
      <c r="H946" s="13"/>
    </row>
    <row r="947" ht="12.75" customHeight="1">
      <c r="C947" s="71"/>
      <c r="D947" s="102"/>
      <c r="F947" s="72"/>
      <c r="H947" s="13"/>
    </row>
    <row r="948" ht="12.75" customHeight="1">
      <c r="C948" s="71"/>
      <c r="D948" s="102"/>
      <c r="F948" s="72"/>
      <c r="H948" s="13"/>
    </row>
    <row r="949" ht="12.75" customHeight="1">
      <c r="C949" s="71"/>
      <c r="D949" s="102"/>
      <c r="F949" s="72"/>
      <c r="H949" s="13"/>
    </row>
    <row r="950" ht="12.75" customHeight="1">
      <c r="C950" s="71"/>
      <c r="D950" s="102"/>
      <c r="F950" s="72"/>
      <c r="H950" s="13"/>
    </row>
    <row r="951" ht="12.75" customHeight="1">
      <c r="C951" s="71"/>
      <c r="D951" s="102"/>
      <c r="F951" s="72"/>
      <c r="H951" s="13"/>
    </row>
    <row r="952" ht="12.75" customHeight="1">
      <c r="C952" s="71"/>
      <c r="D952" s="102"/>
      <c r="F952" s="72"/>
      <c r="H952" s="13"/>
    </row>
    <row r="953" ht="12.75" customHeight="1">
      <c r="C953" s="71"/>
      <c r="D953" s="102"/>
      <c r="F953" s="72"/>
      <c r="H953" s="13"/>
    </row>
    <row r="954" ht="12.75" customHeight="1">
      <c r="C954" s="71"/>
      <c r="D954" s="102"/>
      <c r="F954" s="72"/>
      <c r="H954" s="13"/>
    </row>
    <row r="955" ht="12.75" customHeight="1">
      <c r="C955" s="71"/>
      <c r="D955" s="102"/>
      <c r="F955" s="72"/>
      <c r="H955" s="13"/>
    </row>
    <row r="956" ht="12.75" customHeight="1">
      <c r="C956" s="71"/>
      <c r="D956" s="102"/>
      <c r="F956" s="72"/>
      <c r="H956" s="13"/>
    </row>
    <row r="957" ht="12.75" customHeight="1">
      <c r="C957" s="71"/>
      <c r="D957" s="102"/>
      <c r="F957" s="72"/>
      <c r="H957" s="13"/>
    </row>
    <row r="958" ht="12.75" customHeight="1">
      <c r="C958" s="71"/>
      <c r="D958" s="102"/>
      <c r="F958" s="72"/>
      <c r="H958" s="13"/>
    </row>
    <row r="959" ht="12.75" customHeight="1">
      <c r="C959" s="71"/>
      <c r="D959" s="102"/>
      <c r="F959" s="72"/>
      <c r="H959" s="13"/>
    </row>
    <row r="960" ht="12.75" customHeight="1">
      <c r="C960" s="71"/>
      <c r="D960" s="102"/>
      <c r="F960" s="72"/>
      <c r="H960" s="13"/>
    </row>
    <row r="961" ht="12.75" customHeight="1">
      <c r="C961" s="71"/>
      <c r="D961" s="102"/>
      <c r="F961" s="72"/>
      <c r="H961" s="13"/>
    </row>
    <row r="962" ht="12.75" customHeight="1">
      <c r="C962" s="71"/>
      <c r="D962" s="102"/>
      <c r="F962" s="72"/>
      <c r="H962" s="13"/>
    </row>
    <row r="963" ht="12.75" customHeight="1">
      <c r="C963" s="71"/>
      <c r="D963" s="102"/>
      <c r="F963" s="72"/>
      <c r="H963" s="13"/>
    </row>
    <row r="964" ht="12.75" customHeight="1">
      <c r="C964" s="71"/>
      <c r="D964" s="102"/>
      <c r="F964" s="72"/>
      <c r="H964" s="13"/>
    </row>
    <row r="965" ht="12.75" customHeight="1">
      <c r="C965" s="71"/>
      <c r="D965" s="102"/>
      <c r="F965" s="72"/>
      <c r="H965" s="13"/>
    </row>
    <row r="966" ht="12.75" customHeight="1">
      <c r="C966" s="71"/>
      <c r="D966" s="102"/>
      <c r="F966" s="72"/>
      <c r="H966" s="13"/>
    </row>
    <row r="967" ht="12.75" customHeight="1">
      <c r="C967" s="71"/>
      <c r="D967" s="102"/>
      <c r="F967" s="72"/>
      <c r="H967" s="13"/>
    </row>
    <row r="968" ht="12.75" customHeight="1">
      <c r="C968" s="71"/>
      <c r="D968" s="102"/>
      <c r="F968" s="72"/>
      <c r="H968" s="13"/>
    </row>
    <row r="969" ht="12.75" customHeight="1">
      <c r="C969" s="71"/>
      <c r="D969" s="102"/>
      <c r="F969" s="72"/>
      <c r="H969" s="13"/>
    </row>
    <row r="970" ht="12.75" customHeight="1">
      <c r="C970" s="71"/>
      <c r="D970" s="102"/>
      <c r="F970" s="72"/>
      <c r="H970" s="13"/>
    </row>
    <row r="971" ht="12.75" customHeight="1">
      <c r="C971" s="71"/>
      <c r="D971" s="102"/>
      <c r="F971" s="72"/>
      <c r="H971" s="13"/>
    </row>
    <row r="972" ht="12.75" customHeight="1">
      <c r="C972" s="71"/>
      <c r="D972" s="102"/>
      <c r="F972" s="72"/>
      <c r="H972" s="13"/>
    </row>
    <row r="973" ht="12.75" customHeight="1">
      <c r="C973" s="71"/>
      <c r="D973" s="102"/>
      <c r="F973" s="72"/>
      <c r="H973" s="13"/>
    </row>
    <row r="974" ht="12.75" customHeight="1">
      <c r="C974" s="71"/>
      <c r="D974" s="102"/>
      <c r="F974" s="72"/>
      <c r="H974" s="13"/>
    </row>
    <row r="975" ht="12.75" customHeight="1">
      <c r="C975" s="71"/>
      <c r="D975" s="102"/>
      <c r="F975" s="72"/>
      <c r="H975" s="13"/>
    </row>
    <row r="976" ht="12.75" customHeight="1">
      <c r="C976" s="71"/>
      <c r="D976" s="102"/>
      <c r="F976" s="72"/>
      <c r="H976" s="13"/>
    </row>
    <row r="977" ht="12.75" customHeight="1">
      <c r="C977" s="71"/>
      <c r="D977" s="102"/>
      <c r="F977" s="72"/>
      <c r="H977" s="13"/>
    </row>
    <row r="978" ht="12.75" customHeight="1">
      <c r="C978" s="71"/>
      <c r="D978" s="102"/>
      <c r="F978" s="72"/>
      <c r="H978" s="13"/>
    </row>
    <row r="979" ht="12.75" customHeight="1">
      <c r="C979" s="71"/>
      <c r="D979" s="102"/>
      <c r="F979" s="72"/>
      <c r="H979" s="13"/>
    </row>
    <row r="980" ht="12.75" customHeight="1">
      <c r="C980" s="71"/>
      <c r="D980" s="102"/>
      <c r="F980" s="72"/>
      <c r="H980" s="13"/>
    </row>
    <row r="981" ht="12.75" customHeight="1">
      <c r="C981" s="71"/>
      <c r="D981" s="102"/>
      <c r="F981" s="72"/>
      <c r="H981" s="13"/>
    </row>
    <row r="982" ht="12.75" customHeight="1">
      <c r="C982" s="71"/>
      <c r="D982" s="102"/>
      <c r="F982" s="72"/>
      <c r="H982" s="13"/>
    </row>
    <row r="983" ht="12.75" customHeight="1">
      <c r="C983" s="71"/>
      <c r="D983" s="102"/>
      <c r="F983" s="72"/>
      <c r="H983" s="13"/>
    </row>
    <row r="984" ht="12.75" customHeight="1">
      <c r="C984" s="71"/>
      <c r="D984" s="102"/>
      <c r="F984" s="72"/>
      <c r="H984" s="13"/>
    </row>
    <row r="985" ht="12.75" customHeight="1">
      <c r="C985" s="71"/>
      <c r="D985" s="102"/>
      <c r="F985" s="72"/>
      <c r="H985" s="13"/>
    </row>
    <row r="986" ht="12.75" customHeight="1">
      <c r="C986" s="71"/>
      <c r="D986" s="102"/>
      <c r="F986" s="72"/>
      <c r="H986" s="13"/>
    </row>
    <row r="987" ht="12.75" customHeight="1">
      <c r="C987" s="71"/>
      <c r="D987" s="102"/>
      <c r="F987" s="72"/>
      <c r="H987" s="13"/>
    </row>
    <row r="988" ht="12.75" customHeight="1">
      <c r="C988" s="71"/>
      <c r="D988" s="102"/>
      <c r="F988" s="72"/>
      <c r="H988" s="13"/>
    </row>
    <row r="989" ht="12.75" customHeight="1">
      <c r="C989" s="71"/>
      <c r="D989" s="102"/>
      <c r="F989" s="72"/>
      <c r="H989" s="13"/>
    </row>
    <row r="990" ht="12.75" customHeight="1">
      <c r="C990" s="71"/>
      <c r="D990" s="102"/>
      <c r="F990" s="72"/>
      <c r="H990" s="13"/>
    </row>
    <row r="991" ht="12.75" customHeight="1">
      <c r="C991" s="71"/>
      <c r="D991" s="102"/>
      <c r="F991" s="72"/>
      <c r="H991" s="13"/>
    </row>
    <row r="992" ht="12.75" customHeight="1">
      <c r="C992" s="71"/>
      <c r="D992" s="102"/>
      <c r="F992" s="72"/>
      <c r="H992" s="13"/>
    </row>
    <row r="993" ht="12.75" customHeight="1">
      <c r="C993" s="71"/>
      <c r="D993" s="102"/>
      <c r="F993" s="72"/>
      <c r="H993" s="13"/>
    </row>
    <row r="994" ht="12.75" customHeight="1">
      <c r="C994" s="71"/>
      <c r="D994" s="102"/>
      <c r="F994" s="72"/>
      <c r="H994" s="13"/>
    </row>
    <row r="995" ht="12.75" customHeight="1">
      <c r="C995" s="71"/>
      <c r="D995" s="102"/>
      <c r="F995" s="72"/>
      <c r="H995" s="13"/>
    </row>
    <row r="996" ht="12.75" customHeight="1">
      <c r="C996" s="71"/>
      <c r="D996" s="102"/>
      <c r="F996" s="72"/>
      <c r="H996" s="13"/>
    </row>
    <row r="997" ht="12.75" customHeight="1">
      <c r="C997" s="71"/>
      <c r="D997" s="102"/>
      <c r="F997" s="72"/>
      <c r="H997" s="13"/>
    </row>
    <row r="998" ht="12.75" customHeight="1">
      <c r="C998" s="71"/>
      <c r="D998" s="102"/>
      <c r="F998" s="72"/>
      <c r="H998" s="13"/>
    </row>
    <row r="999" ht="12.75" customHeight="1">
      <c r="C999" s="71"/>
      <c r="D999" s="102"/>
      <c r="F999" s="72"/>
      <c r="H999" s="13"/>
    </row>
    <row r="1000" ht="12.75" customHeight="1">
      <c r="C1000" s="71"/>
      <c r="D1000" s="102"/>
      <c r="F1000" s="72"/>
      <c r="H1000" s="13"/>
    </row>
    <row r="1001" ht="12.75" customHeight="1">
      <c r="C1001" s="71"/>
      <c r="D1001" s="102"/>
      <c r="F1001" s="72"/>
      <c r="H1001" s="13"/>
    </row>
    <row r="1002" ht="12.75" customHeight="1">
      <c r="C1002" s="71"/>
      <c r="D1002" s="102"/>
      <c r="F1002" s="72"/>
      <c r="H1002" s="13"/>
    </row>
    <row r="1003" ht="12.75" customHeight="1">
      <c r="C1003" s="71"/>
      <c r="D1003" s="102"/>
      <c r="F1003" s="72"/>
      <c r="H1003" s="13"/>
    </row>
    <row r="1004" ht="12.75" customHeight="1">
      <c r="C1004" s="71"/>
      <c r="D1004" s="102"/>
      <c r="F1004" s="72"/>
      <c r="H1004" s="13"/>
    </row>
    <row r="1005" ht="12.75" customHeight="1">
      <c r="C1005" s="71"/>
      <c r="D1005" s="102"/>
      <c r="F1005" s="72"/>
      <c r="H1005" s="13"/>
    </row>
    <row r="1006" ht="12.75" customHeight="1">
      <c r="C1006" s="71"/>
      <c r="D1006" s="102"/>
      <c r="F1006" s="72"/>
      <c r="H1006" s="13"/>
    </row>
    <row r="1007" ht="12.75" customHeight="1">
      <c r="C1007" s="71"/>
      <c r="D1007" s="102"/>
      <c r="F1007" s="72"/>
      <c r="H1007" s="13"/>
    </row>
    <row r="1008" ht="12.75" customHeight="1">
      <c r="C1008" s="71"/>
      <c r="D1008" s="102"/>
      <c r="F1008" s="72"/>
      <c r="H1008" s="13"/>
    </row>
    <row r="1009" ht="12.75" customHeight="1">
      <c r="C1009" s="71"/>
      <c r="D1009" s="102"/>
      <c r="F1009" s="72"/>
      <c r="H1009" s="13"/>
    </row>
    <row r="1010" ht="12.75" customHeight="1">
      <c r="C1010" s="71"/>
      <c r="D1010" s="102"/>
      <c r="F1010" s="72"/>
      <c r="H1010" s="13"/>
    </row>
    <row r="1011" ht="12.75" customHeight="1">
      <c r="C1011" s="71"/>
      <c r="D1011" s="102"/>
      <c r="F1011" s="72"/>
      <c r="H1011" s="13"/>
    </row>
    <row r="1012" ht="12.75" customHeight="1">
      <c r="C1012" s="71"/>
      <c r="D1012" s="102"/>
      <c r="F1012" s="72"/>
      <c r="H1012" s="13"/>
    </row>
    <row r="1013" ht="12.75" customHeight="1">
      <c r="C1013" s="71"/>
      <c r="D1013" s="102"/>
      <c r="F1013" s="72"/>
      <c r="H1013" s="13"/>
    </row>
    <row r="1014" ht="12.75" customHeight="1">
      <c r="C1014" s="71"/>
      <c r="D1014" s="102"/>
      <c r="F1014" s="72"/>
      <c r="H1014" s="13"/>
    </row>
    <row r="1015" ht="12.75" customHeight="1">
      <c r="C1015" s="71"/>
      <c r="D1015" s="102"/>
      <c r="F1015" s="72"/>
      <c r="H1015" s="13"/>
    </row>
    <row r="1016" ht="12.75" customHeight="1">
      <c r="C1016" s="71"/>
      <c r="D1016" s="102"/>
      <c r="F1016" s="72"/>
      <c r="H1016" s="13"/>
    </row>
    <row r="1017" ht="12.75" customHeight="1">
      <c r="C1017" s="71"/>
      <c r="D1017" s="102"/>
      <c r="F1017" s="72"/>
      <c r="H1017" s="13"/>
    </row>
    <row r="1018" ht="12.75" customHeight="1">
      <c r="C1018" s="71"/>
      <c r="D1018" s="102"/>
      <c r="F1018" s="72"/>
      <c r="H1018" s="13"/>
    </row>
    <row r="1019" ht="12.75" customHeight="1">
      <c r="C1019" s="71"/>
      <c r="D1019" s="102"/>
      <c r="F1019" s="72"/>
      <c r="H1019" s="13"/>
    </row>
    <row r="1020" ht="12.75" customHeight="1">
      <c r="C1020" s="71"/>
      <c r="D1020" s="102"/>
      <c r="F1020" s="72"/>
      <c r="H1020" s="13"/>
    </row>
    <row r="1021" ht="12.75" customHeight="1">
      <c r="C1021" s="71"/>
      <c r="D1021" s="102"/>
      <c r="F1021" s="72"/>
      <c r="H1021" s="13"/>
    </row>
    <row r="1022" ht="12.75" customHeight="1">
      <c r="C1022" s="71"/>
      <c r="D1022" s="102"/>
      <c r="F1022" s="72"/>
      <c r="H1022" s="13"/>
    </row>
    <row r="1023" ht="12.75" customHeight="1">
      <c r="C1023" s="71"/>
      <c r="D1023" s="102"/>
      <c r="F1023" s="72"/>
      <c r="H1023" s="13"/>
    </row>
    <row r="1024" ht="12.75" customHeight="1">
      <c r="C1024" s="71"/>
      <c r="D1024" s="102"/>
      <c r="F1024" s="72"/>
      <c r="H1024" s="13"/>
    </row>
    <row r="1025" ht="12.75" customHeight="1">
      <c r="C1025" s="71"/>
      <c r="D1025" s="102"/>
      <c r="F1025" s="72"/>
      <c r="H1025" s="13"/>
    </row>
    <row r="1026" ht="15.0" customHeight="1">
      <c r="C1026" s="71"/>
      <c r="H1026" s="72"/>
    </row>
    <row r="1027" ht="15.0" customHeight="1">
      <c r="C1027" s="71"/>
      <c r="H1027" s="72"/>
    </row>
    <row r="1028" ht="15.0" customHeight="1">
      <c r="C1028" s="71"/>
      <c r="H1028" s="72"/>
    </row>
    <row r="1029" ht="15.0" customHeight="1">
      <c r="C1029" s="71"/>
      <c r="H1029" s="72"/>
    </row>
    <row r="1030" ht="15.0" customHeight="1">
      <c r="C1030" s="71"/>
      <c r="H1030" s="72"/>
    </row>
    <row r="1031" ht="15.0" customHeight="1">
      <c r="C1031" s="71"/>
      <c r="H1031" s="72"/>
    </row>
    <row r="1032" ht="15.0" customHeight="1">
      <c r="C1032" s="71"/>
      <c r="H1032" s="72"/>
    </row>
  </sheetData>
  <autoFilter ref="$B$2:$P$2">
    <sortState ref="B2:P2">
      <sortCondition ref="B2"/>
    </sortState>
  </autoFilter>
  <mergeCells count="1">
    <mergeCell ref="A1:P1"/>
  </mergeCells>
  <conditionalFormatting sqref="C3:O58">
    <cfRule type="containsText" dxfId="0" priority="1" operator="containsText" text="Absent">
      <formula>NOT(ISERROR(SEARCH(("Absent"),(C3))))</formula>
    </cfRule>
  </conditionalFormatting>
  <conditionalFormatting sqref="C3:O58">
    <cfRule type="cellIs" dxfId="1" priority="2" operator="equal">
      <formula>0</formula>
    </cfRule>
  </conditionalFormatting>
  <conditionalFormatting sqref="P6">
    <cfRule type="containsText" dxfId="0" priority="3" operator="containsText" text="Absent">
      <formula>NOT(ISERROR(SEARCH(("Absent"),(P6))))</formula>
    </cfRule>
  </conditionalFormatting>
  <conditionalFormatting sqref="P6">
    <cfRule type="cellIs" dxfId="1" priority="4" operator="equal">
      <formula>0</formula>
    </cfRule>
  </conditionalFormatting>
  <conditionalFormatting sqref="P27">
    <cfRule type="containsText" dxfId="0" priority="5" operator="containsText" text="Absent">
      <formula>NOT(ISERROR(SEARCH(("Absent"),(P27))))</formula>
    </cfRule>
  </conditionalFormatting>
  <conditionalFormatting sqref="P27">
    <cfRule type="cellIs" dxfId="1" priority="6" operator="equal">
      <formula>0</formula>
    </cfRule>
  </conditionalFormatting>
  <conditionalFormatting sqref="P33">
    <cfRule type="containsText" dxfId="0" priority="7" operator="containsText" text="Absent">
      <formula>NOT(ISERROR(SEARCH(("Absent"),(P33))))</formula>
    </cfRule>
  </conditionalFormatting>
  <conditionalFormatting sqref="P33">
    <cfRule type="cellIs" dxfId="1" priority="8" operator="equal">
      <formula>0</formula>
    </cfRule>
  </conditionalFormatting>
  <conditionalFormatting sqref="P40">
    <cfRule type="containsText" dxfId="0" priority="9" operator="containsText" text="Absent">
      <formula>NOT(ISERROR(SEARCH(("Absent"),(P40))))</formula>
    </cfRule>
  </conditionalFormatting>
  <conditionalFormatting sqref="P40">
    <cfRule type="cellIs" dxfId="1" priority="10" operator="equal">
      <formula>0</formula>
    </cfRule>
  </conditionalFormatting>
  <dataValidations>
    <dataValidation type="custom" allowBlank="1" showDropDown="1" sqref="F66:F118">
      <formula1>OR(NOT(ISERROR(DATEVALUE(F66))), AND(ISNUMBER(F66), LEFT(CELL("format", F66))="D"))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4.38"/>
    <col customWidth="1" min="3" max="3" width="10.75"/>
    <col customWidth="1" min="4" max="6" width="10.38"/>
    <col customWidth="1" min="7" max="7" width="31.75"/>
    <col customWidth="1" min="8" max="13" width="10.38"/>
    <col customWidth="1" min="14" max="14" width="8.75"/>
    <col customWidth="1" min="15" max="15" width="16.75"/>
    <col customWidth="1" min="16" max="16" width="12.13"/>
  </cols>
  <sheetData>
    <row r="1" ht="21.75" customHeight="1">
      <c r="A1" s="105" t="s">
        <v>198</v>
      </c>
    </row>
    <row r="2">
      <c r="A2" s="76" t="s">
        <v>92</v>
      </c>
      <c r="B2" s="77" t="s">
        <v>2</v>
      </c>
      <c r="C2" s="77" t="s">
        <v>93</v>
      </c>
      <c r="D2" s="77" t="s">
        <v>94</v>
      </c>
      <c r="E2" s="77" t="s">
        <v>95</v>
      </c>
      <c r="F2" s="77" t="s">
        <v>96</v>
      </c>
      <c r="G2" s="77" t="s">
        <v>97</v>
      </c>
      <c r="H2" s="77" t="s">
        <v>98</v>
      </c>
      <c r="I2" s="77" t="s">
        <v>99</v>
      </c>
      <c r="J2" s="77" t="s">
        <v>100</v>
      </c>
      <c r="K2" s="77" t="s">
        <v>101</v>
      </c>
      <c r="L2" s="77" t="s">
        <v>102</v>
      </c>
      <c r="M2" s="77" t="s">
        <v>103</v>
      </c>
      <c r="N2" s="77" t="s">
        <v>104</v>
      </c>
      <c r="O2" s="77" t="s">
        <v>105</v>
      </c>
      <c r="P2" s="106" t="s">
        <v>106</v>
      </c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ht="12.75" customHeight="1">
      <c r="A3" s="3">
        <v>1.0</v>
      </c>
      <c r="B3" s="13" t="s">
        <v>107</v>
      </c>
      <c r="C3" s="108">
        <v>750.0</v>
      </c>
      <c r="D3" s="108">
        <v>1050.0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 ht="12.75" customHeight="1">
      <c r="A4" s="3">
        <v>2.0</v>
      </c>
      <c r="B4" s="13" t="s">
        <v>66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</row>
    <row r="5" ht="12.75" customHeight="1">
      <c r="A5" s="3">
        <v>3.0</v>
      </c>
      <c r="B5" s="13" t="s">
        <v>109</v>
      </c>
      <c r="C5" s="28">
        <v>750.0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2.75" customHeight="1">
      <c r="A6" s="3">
        <v>4.0</v>
      </c>
      <c r="B6" s="13" t="s">
        <v>69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ht="12.75" customHeight="1">
      <c r="A7" s="3">
        <v>5.0</v>
      </c>
      <c r="B7" s="13" t="s">
        <v>111</v>
      </c>
      <c r="C7" s="28">
        <v>750.0</v>
      </c>
      <c r="D7" s="108">
        <v>1050.0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ht="12.75" customHeight="1">
      <c r="A8" s="3">
        <v>6.0</v>
      </c>
      <c r="B8" s="13" t="s">
        <v>112</v>
      </c>
      <c r="C8" s="28">
        <v>750.0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4"/>
    </row>
    <row r="9" ht="12.75" customHeight="1">
      <c r="A9" s="3">
        <v>7.0</v>
      </c>
      <c r="B9" s="10" t="s">
        <v>58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 ht="12.75" customHeight="1">
      <c r="A10" s="3">
        <v>8.0</v>
      </c>
      <c r="B10" s="13" t="s">
        <v>113</v>
      </c>
      <c r="C10" s="28">
        <v>750.0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4"/>
    </row>
    <row r="11" ht="12.75" customHeight="1">
      <c r="A11" s="3">
        <v>9.0</v>
      </c>
      <c r="B11" s="13" t="s">
        <v>11</v>
      </c>
      <c r="C11" s="108">
        <v>750.0</v>
      </c>
      <c r="D11" s="108">
        <v>1050.0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2.75" customHeight="1">
      <c r="A12" s="3">
        <v>10.0</v>
      </c>
      <c r="B12" s="13" t="s">
        <v>14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</row>
    <row r="13" ht="12.75" customHeight="1">
      <c r="A13" s="3">
        <v>11.0</v>
      </c>
      <c r="B13" s="13" t="s">
        <v>114</v>
      </c>
      <c r="C13" s="28">
        <v>750.0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 ht="12.75" customHeight="1">
      <c r="A14" s="3">
        <v>12.0</v>
      </c>
      <c r="B14" s="13" t="s">
        <v>115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4"/>
    </row>
    <row r="15" ht="12.75" customHeight="1">
      <c r="A15" s="3">
        <v>13.0</v>
      </c>
      <c r="B15" s="13" t="s">
        <v>116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 ht="12.75" customHeight="1">
      <c r="A16" s="3">
        <v>14.0</v>
      </c>
      <c r="B16" s="13" t="s">
        <v>117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</row>
    <row r="17" ht="12.75" customHeight="1">
      <c r="A17" s="3">
        <v>15.0</v>
      </c>
      <c r="B17" s="13" t="s">
        <v>118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4"/>
    </row>
    <row r="18" ht="12.75" customHeight="1">
      <c r="A18" s="3">
        <v>16.0</v>
      </c>
      <c r="B18" s="13" t="s">
        <v>63</v>
      </c>
      <c r="C18" s="28">
        <v>750.0</v>
      </c>
      <c r="D18" s="108">
        <v>1050.0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</row>
    <row r="19" ht="12.75" customHeight="1">
      <c r="A19" s="3">
        <v>17.0</v>
      </c>
      <c r="B19" s="4" t="s">
        <v>56</v>
      </c>
      <c r="C19" s="28"/>
      <c r="D19" s="108">
        <v>1050.0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 ht="12.75" customHeight="1">
      <c r="A20" s="3">
        <v>18.0</v>
      </c>
      <c r="B20" s="13" t="s">
        <v>119</v>
      </c>
      <c r="C20" s="28">
        <v>750.0</v>
      </c>
      <c r="D20" s="108">
        <v>1050.0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</row>
    <row r="21" ht="12.75" customHeight="1">
      <c r="A21" s="3">
        <v>19.0</v>
      </c>
      <c r="B21" s="13" t="s">
        <v>21</v>
      </c>
      <c r="C21" s="28">
        <v>750.0</v>
      </c>
      <c r="D21" s="108">
        <v>1050.0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ht="12.75" customHeight="1">
      <c r="A22" s="3">
        <v>20.0</v>
      </c>
      <c r="B22" s="13" t="s">
        <v>120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ht="12.75" customHeight="1">
      <c r="A23" s="3">
        <v>21.0</v>
      </c>
      <c r="B23" s="13" t="s">
        <v>39</v>
      </c>
      <c r="C23" s="28">
        <v>750.0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 ht="12.75" customHeight="1">
      <c r="A24" s="3">
        <v>22.0</v>
      </c>
      <c r="B24" s="13" t="s">
        <v>121</v>
      </c>
      <c r="C24" s="28">
        <v>750.0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4"/>
    </row>
    <row r="25" ht="12.75" customHeight="1">
      <c r="A25" s="3">
        <v>23.0</v>
      </c>
      <c r="B25" s="13" t="s">
        <v>122</v>
      </c>
      <c r="C25" s="28">
        <v>750.0</v>
      </c>
      <c r="D25" s="108">
        <v>1050.0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">
        <v>24.0</v>
      </c>
      <c r="B26" s="10" t="s">
        <v>123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</row>
    <row r="27" ht="12.75" customHeight="1">
      <c r="A27" s="3">
        <v>25.0</v>
      </c>
      <c r="B27" s="13" t="s">
        <v>124</v>
      </c>
      <c r="C27" s="28"/>
      <c r="D27" s="108">
        <v>1050.0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4"/>
    </row>
    <row r="28" ht="12.75" customHeight="1">
      <c r="A28" s="3">
        <v>26.0</v>
      </c>
      <c r="B28" s="13" t="s">
        <v>44</v>
      </c>
      <c r="C28" s="28">
        <v>750.0</v>
      </c>
      <c r="D28" s="108">
        <v>1050.0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4"/>
    </row>
    <row r="29" ht="12.75" customHeight="1">
      <c r="A29" s="3">
        <v>27.0</v>
      </c>
      <c r="B29" s="36" t="s">
        <v>125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28"/>
      <c r="P29" s="29"/>
    </row>
    <row r="30" ht="12.75" customHeight="1">
      <c r="A30" s="3">
        <v>28.0</v>
      </c>
      <c r="B30" s="13" t="s">
        <v>88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4"/>
    </row>
    <row r="31" ht="12.75" customHeight="1">
      <c r="A31" s="3">
        <v>29.0</v>
      </c>
      <c r="B31" s="4" t="s">
        <v>67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ht="12.75" customHeight="1">
      <c r="A32" s="3">
        <v>30.0</v>
      </c>
      <c r="B32" s="13" t="s">
        <v>23</v>
      </c>
      <c r="C32" s="40"/>
      <c r="D32" s="40"/>
      <c r="E32" s="40"/>
      <c r="F32" s="40"/>
      <c r="G32" s="28"/>
      <c r="H32" s="28"/>
      <c r="I32" s="28"/>
      <c r="J32" s="28"/>
      <c r="K32" s="28"/>
      <c r="L32" s="28"/>
      <c r="M32" s="28"/>
      <c r="N32" s="28"/>
      <c r="O32" s="37"/>
      <c r="P32" s="29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3.5" customHeight="1">
      <c r="A33" s="3">
        <v>31.0</v>
      </c>
      <c r="B33" s="13" t="s">
        <v>126</v>
      </c>
      <c r="C33" s="28"/>
      <c r="D33" s="108">
        <v>1050.0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3">
        <v>32.0</v>
      </c>
      <c r="B34" s="13" t="s">
        <v>127</v>
      </c>
      <c r="C34" s="40">
        <v>750.0</v>
      </c>
      <c r="D34" s="40"/>
      <c r="E34" s="40"/>
      <c r="F34" s="40"/>
      <c r="G34" s="28"/>
      <c r="H34" s="28"/>
      <c r="I34" s="28"/>
      <c r="J34" s="28"/>
      <c r="K34" s="28"/>
      <c r="L34" s="28"/>
      <c r="M34" s="28"/>
      <c r="N34" s="28"/>
      <c r="O34" s="28"/>
      <c r="P34" s="34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3">
        <v>33.0</v>
      </c>
      <c r="B35" s="13" t="s">
        <v>70</v>
      </c>
      <c r="C35" s="28">
        <v>750.0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3">
        <v>34.0</v>
      </c>
      <c r="B36" s="13" t="s">
        <v>128</v>
      </c>
      <c r="C36" s="28">
        <v>750.0</v>
      </c>
      <c r="D36" s="108">
        <v>1050.0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4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3">
        <v>35.0</v>
      </c>
      <c r="B37" s="13" t="s">
        <v>68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2.75" customHeight="1">
      <c r="A38" s="3">
        <v>36.0</v>
      </c>
      <c r="B38" s="13" t="s">
        <v>25</v>
      </c>
      <c r="C38" s="28">
        <v>750.0</v>
      </c>
      <c r="D38" s="108">
        <v>1050.0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9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09">
        <v>37.0</v>
      </c>
      <c r="B39" s="14" t="s">
        <v>71</v>
      </c>
      <c r="C39" s="28"/>
      <c r="D39" s="108">
        <v>1050.0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9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09">
        <v>38.0</v>
      </c>
      <c r="B40" s="14" t="s">
        <v>72</v>
      </c>
      <c r="C40" s="28"/>
      <c r="D40" s="108">
        <v>1050.0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9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3"/>
      <c r="B41" s="13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41">
        <v>7.0</v>
      </c>
      <c r="B42" s="42" t="s">
        <v>129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51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2.75" customHeight="1">
      <c r="A43" s="41">
        <v>15.0</v>
      </c>
      <c r="B43" s="42" t="s">
        <v>64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110"/>
    </row>
    <row r="44" ht="12.75" customHeight="1">
      <c r="A44" s="41">
        <v>29.0</v>
      </c>
      <c r="B44" s="42" t="s">
        <v>130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110"/>
    </row>
    <row r="45" ht="12.75" customHeight="1">
      <c r="A45" s="41">
        <v>36.0</v>
      </c>
      <c r="B45" s="42" t="s">
        <v>131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6"/>
    </row>
    <row r="46" ht="12.75" customHeight="1">
      <c r="A46" s="41">
        <v>22.0</v>
      </c>
      <c r="B46" s="42" t="s">
        <v>46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29"/>
    </row>
    <row r="47" ht="12.75" customHeight="1">
      <c r="A47" s="41">
        <v>26.0</v>
      </c>
      <c r="B47" s="42" t="s">
        <v>132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29"/>
    </row>
    <row r="48" ht="12.75" customHeight="1">
      <c r="A48" s="41"/>
      <c r="B48" s="42" t="s">
        <v>133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6"/>
    </row>
    <row r="49" ht="12.75" customHeight="1">
      <c r="A49" s="3">
        <v>32.0</v>
      </c>
      <c r="B49" s="42" t="s">
        <v>17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6"/>
    </row>
    <row r="50" ht="12.75" customHeight="1">
      <c r="A50" s="3">
        <v>34.0</v>
      </c>
      <c r="B50" s="42" t="s">
        <v>134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9"/>
    </row>
    <row r="51" ht="12.75" customHeight="1">
      <c r="A51" s="3">
        <v>35.0</v>
      </c>
      <c r="B51" s="42" t="s">
        <v>135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7"/>
      <c r="P51" s="29"/>
    </row>
    <row r="52" ht="12.75" customHeight="1">
      <c r="A52" s="3">
        <v>36.0</v>
      </c>
      <c r="B52" s="42" t="s">
        <v>57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7"/>
      <c r="P52" s="29"/>
    </row>
    <row r="53" ht="12.75" customHeight="1">
      <c r="A53" s="48"/>
      <c r="B53" s="42" t="s">
        <v>136</v>
      </c>
      <c r="C53" s="47"/>
      <c r="D53" s="47"/>
      <c r="E53" s="47"/>
      <c r="F53" s="47"/>
      <c r="G53" s="43"/>
      <c r="H53" s="43"/>
      <c r="I53" s="43"/>
      <c r="J53" s="43"/>
      <c r="K53" s="43"/>
      <c r="L53" s="43"/>
      <c r="M53" s="43"/>
      <c r="N53" s="43"/>
      <c r="O53" s="47"/>
      <c r="P53" s="29"/>
    </row>
    <row r="54" ht="12.75" customHeight="1">
      <c r="A54" s="41"/>
      <c r="B54" s="42" t="s">
        <v>137</v>
      </c>
      <c r="C54" s="47"/>
      <c r="D54" s="47"/>
      <c r="E54" s="47"/>
      <c r="F54" s="47"/>
      <c r="G54" s="49"/>
      <c r="H54" s="49"/>
      <c r="I54" s="49"/>
      <c r="J54" s="49"/>
      <c r="K54" s="49"/>
      <c r="L54" s="49"/>
      <c r="M54" s="49"/>
      <c r="N54" s="49"/>
      <c r="O54" s="50"/>
      <c r="P54" s="29"/>
    </row>
    <row r="55" ht="13.5" customHeight="1">
      <c r="A55" s="41"/>
      <c r="B55" s="42" t="s">
        <v>138</v>
      </c>
      <c r="C55" s="43"/>
      <c r="D55" s="43"/>
      <c r="E55" s="43"/>
      <c r="F55" s="43"/>
      <c r="G55" s="49"/>
      <c r="H55" s="49"/>
      <c r="I55" s="49"/>
      <c r="J55" s="49"/>
      <c r="K55" s="49"/>
      <c r="L55" s="49"/>
      <c r="M55" s="49"/>
      <c r="N55" s="49"/>
      <c r="O55" s="28"/>
      <c r="P55" s="29"/>
    </row>
    <row r="56" ht="12.75" customHeight="1">
      <c r="A56" s="41"/>
      <c r="B56" s="42" t="s">
        <v>47</v>
      </c>
      <c r="C56" s="43"/>
      <c r="D56" s="43"/>
      <c r="E56" s="43"/>
      <c r="F56" s="43"/>
      <c r="G56" s="51"/>
      <c r="H56" s="51"/>
      <c r="I56" s="51"/>
      <c r="J56" s="51"/>
      <c r="K56" s="51"/>
      <c r="L56" s="51"/>
      <c r="M56" s="51"/>
      <c r="N56" s="51"/>
      <c r="O56" s="28"/>
      <c r="P56" s="29"/>
    </row>
    <row r="57" ht="12.75" customHeight="1">
      <c r="A57" s="48"/>
      <c r="B57" s="52" t="s">
        <v>48</v>
      </c>
      <c r="C57" s="43"/>
      <c r="D57" s="53"/>
      <c r="E57" s="53"/>
      <c r="F57" s="43"/>
      <c r="G57" s="54"/>
      <c r="H57" s="55"/>
      <c r="I57" s="56"/>
      <c r="J57" s="56"/>
      <c r="K57" s="56"/>
      <c r="L57" s="56"/>
      <c r="M57" s="56"/>
      <c r="N57" s="56"/>
      <c r="O57" s="28"/>
      <c r="P57" s="29"/>
    </row>
    <row r="58" ht="12.75" customHeight="1">
      <c r="A58" s="48"/>
      <c r="B58" s="52" t="s">
        <v>49</v>
      </c>
      <c r="C58" s="43"/>
      <c r="D58" s="53"/>
      <c r="E58" s="53"/>
      <c r="F58" s="43"/>
      <c r="G58" s="54"/>
      <c r="H58" s="55"/>
      <c r="I58" s="56"/>
      <c r="J58" s="56"/>
      <c r="K58" s="56"/>
      <c r="L58" s="56"/>
      <c r="M58" s="56"/>
      <c r="N58" s="56"/>
      <c r="O58" s="28"/>
      <c r="P58" s="29"/>
    </row>
    <row r="59" ht="12.75" customHeight="1">
      <c r="A59" s="57"/>
      <c r="B59" s="58"/>
      <c r="C59" s="59"/>
      <c r="D59" s="60"/>
      <c r="E59" s="60"/>
      <c r="F59" s="59"/>
      <c r="G59" s="61"/>
      <c r="H59" s="62"/>
      <c r="I59" s="63"/>
      <c r="J59" s="63"/>
      <c r="K59" s="63"/>
      <c r="L59" s="63"/>
      <c r="M59" s="63"/>
      <c r="N59" s="63"/>
      <c r="O59" s="64"/>
      <c r="P59" s="65"/>
    </row>
    <row r="60" ht="12.75" customHeight="1">
      <c r="A60" s="66"/>
      <c r="B60" s="67"/>
      <c r="C60" s="68"/>
      <c r="D60" s="69"/>
      <c r="E60" s="69"/>
      <c r="F60" s="68"/>
      <c r="G60" s="63"/>
      <c r="H60" s="64"/>
      <c r="I60" s="63"/>
      <c r="J60" s="63"/>
      <c r="K60" s="63"/>
      <c r="L60" s="63"/>
      <c r="M60" s="63"/>
      <c r="N60" s="63"/>
      <c r="O60" s="64"/>
      <c r="P60" s="65"/>
    </row>
    <row r="61" ht="12.75" customHeight="1">
      <c r="B61" s="26"/>
      <c r="C61" s="70">
        <f t="shared" ref="C61:P61" si="1">SUM(C3:C60)</f>
        <v>13500</v>
      </c>
      <c r="D61" s="70">
        <f t="shared" si="1"/>
        <v>15750</v>
      </c>
      <c r="E61" s="70">
        <f t="shared" si="1"/>
        <v>0</v>
      </c>
      <c r="F61" s="70">
        <f t="shared" si="1"/>
        <v>0</v>
      </c>
      <c r="G61" s="70">
        <f t="shared" si="1"/>
        <v>0</v>
      </c>
      <c r="H61" s="70">
        <f t="shared" si="1"/>
        <v>0</v>
      </c>
      <c r="I61" s="70">
        <f t="shared" si="1"/>
        <v>0</v>
      </c>
      <c r="J61" s="70">
        <f t="shared" si="1"/>
        <v>0</v>
      </c>
      <c r="K61" s="70">
        <f t="shared" si="1"/>
        <v>0</v>
      </c>
      <c r="L61" s="70">
        <f t="shared" si="1"/>
        <v>0</v>
      </c>
      <c r="M61" s="70">
        <f t="shared" si="1"/>
        <v>0</v>
      </c>
      <c r="N61" s="70">
        <f t="shared" si="1"/>
        <v>0</v>
      </c>
      <c r="O61" s="70">
        <f t="shared" si="1"/>
        <v>0</v>
      </c>
      <c r="P61" s="70">
        <f t="shared" si="1"/>
        <v>0</v>
      </c>
    </row>
    <row r="62" ht="12.75" customHeight="1">
      <c r="C62" s="71"/>
      <c r="D62" s="71"/>
      <c r="F62" s="72"/>
      <c r="H62" s="72"/>
    </row>
    <row r="63" ht="12.75" customHeight="1">
      <c r="C63" s="71"/>
      <c r="D63" s="71"/>
      <c r="F63" s="72"/>
      <c r="H63" s="72"/>
    </row>
    <row r="64" ht="12.75" customHeight="1">
      <c r="C64" s="71"/>
      <c r="D64" s="71"/>
      <c r="F64" s="72"/>
      <c r="H64" s="72"/>
    </row>
    <row r="65" ht="12.75" customHeight="1">
      <c r="B65" s="73" t="s">
        <v>199</v>
      </c>
      <c r="C65" s="71">
        <f>'2025 Jan-Dec'!C68</f>
        <v>585400</v>
      </c>
      <c r="D65" s="71">
        <f>SUM(C61:P61)</f>
        <v>29250</v>
      </c>
      <c r="F65" s="72"/>
      <c r="G65" s="74"/>
      <c r="H65" s="72"/>
    </row>
    <row r="66" ht="12.75" customHeight="1">
      <c r="B66" s="73" t="s">
        <v>200</v>
      </c>
      <c r="C66" s="71">
        <f>'2025 Jan-Dec'!C69</f>
        <v>521738</v>
      </c>
      <c r="D66" s="71">
        <f>H66</f>
        <v>36870</v>
      </c>
      <c r="F66" s="72"/>
      <c r="G66" s="74"/>
      <c r="H66" s="75">
        <f>SUM(H68:H827)</f>
        <v>36870</v>
      </c>
    </row>
    <row r="67" ht="12.75" customHeight="1">
      <c r="C67" s="71"/>
      <c r="D67" s="71"/>
      <c r="E67" s="76" t="s">
        <v>1</v>
      </c>
      <c r="F67" s="77" t="s">
        <v>5</v>
      </c>
      <c r="G67" s="76" t="s">
        <v>142</v>
      </c>
      <c r="H67" s="77" t="s">
        <v>4</v>
      </c>
      <c r="I67" s="76" t="s">
        <v>7</v>
      </c>
      <c r="J67" s="78" t="s">
        <v>143</v>
      </c>
    </row>
    <row r="68" ht="12.75" customHeight="1">
      <c r="C68" s="71"/>
      <c r="D68" s="71"/>
      <c r="E68" s="3">
        <v>1.0</v>
      </c>
      <c r="F68" s="79">
        <v>46025.0</v>
      </c>
      <c r="G68" s="4" t="s">
        <v>201</v>
      </c>
      <c r="H68" s="13">
        <v>3900.0</v>
      </c>
      <c r="I68" s="84" t="s">
        <v>156</v>
      </c>
      <c r="J68" s="73"/>
    </row>
    <row r="69" ht="12.75" customHeight="1">
      <c r="B69" s="2"/>
      <c r="C69" s="80"/>
      <c r="D69" s="71"/>
      <c r="E69" s="3">
        <v>2.0</v>
      </c>
      <c r="F69" s="79">
        <v>46025.0</v>
      </c>
      <c r="G69" s="4" t="s">
        <v>202</v>
      </c>
      <c r="H69" s="13">
        <v>5500.0</v>
      </c>
      <c r="I69" s="84" t="s">
        <v>156</v>
      </c>
      <c r="J69" s="73"/>
    </row>
    <row r="70" ht="12.75" customHeight="1">
      <c r="B70" s="4" t="s">
        <v>28</v>
      </c>
      <c r="C70" s="81">
        <f>C65+D65+C82</f>
        <v>614650</v>
      </c>
      <c r="D70" s="71"/>
      <c r="E70" s="3">
        <v>3.0</v>
      </c>
      <c r="F70" s="79">
        <v>46026.0</v>
      </c>
      <c r="G70" s="4" t="s">
        <v>203</v>
      </c>
      <c r="H70" s="13">
        <v>3900.0</v>
      </c>
      <c r="I70" s="84" t="s">
        <v>156</v>
      </c>
      <c r="J70" s="73"/>
    </row>
    <row r="71" ht="12.75" customHeight="1">
      <c r="B71" s="82" t="s">
        <v>29</v>
      </c>
      <c r="C71" s="83">
        <f>C66+H66+C88</f>
        <v>558608</v>
      </c>
      <c r="D71" s="71"/>
      <c r="E71" s="3">
        <v>4.0</v>
      </c>
      <c r="F71" s="79">
        <v>46032.0</v>
      </c>
      <c r="G71" s="4" t="s">
        <v>201</v>
      </c>
      <c r="H71" s="13">
        <v>1450.0</v>
      </c>
      <c r="I71" s="84" t="s">
        <v>156</v>
      </c>
      <c r="J71" s="73"/>
    </row>
    <row r="72" ht="12.75" customHeight="1">
      <c r="B72" s="84" t="s">
        <v>30</v>
      </c>
      <c r="C72" s="85">
        <f>SUM(C69+C70-C71)</f>
        <v>56042</v>
      </c>
      <c r="D72" s="71"/>
      <c r="E72" s="3">
        <v>5.0</v>
      </c>
      <c r="F72" s="79">
        <v>46033.0</v>
      </c>
      <c r="G72" s="4" t="s">
        <v>204</v>
      </c>
      <c r="H72" s="13">
        <v>2750.0</v>
      </c>
      <c r="I72" s="84" t="s">
        <v>156</v>
      </c>
      <c r="J72" s="73"/>
    </row>
    <row r="73" ht="12.75" customHeight="1">
      <c r="B73" s="4"/>
      <c r="C73" s="86"/>
      <c r="D73" s="71"/>
      <c r="E73" s="3">
        <v>6.0</v>
      </c>
      <c r="F73" s="79">
        <v>46039.0</v>
      </c>
      <c r="G73" s="4" t="s">
        <v>205</v>
      </c>
      <c r="H73" s="13">
        <v>3000.0</v>
      </c>
      <c r="I73" s="84" t="s">
        <v>156</v>
      </c>
      <c r="J73" s="73"/>
    </row>
    <row r="74" ht="12.75" customHeight="1">
      <c r="B74" s="2"/>
      <c r="C74" s="87"/>
      <c r="D74" s="71"/>
      <c r="E74" s="3">
        <v>7.0</v>
      </c>
      <c r="F74" s="111">
        <v>46053.0</v>
      </c>
      <c r="G74" s="112" t="s">
        <v>201</v>
      </c>
      <c r="H74" s="113">
        <v>3900.0</v>
      </c>
      <c r="I74" s="84" t="s">
        <v>156</v>
      </c>
      <c r="J74" s="73"/>
    </row>
    <row r="75" ht="12.75" customHeight="1">
      <c r="A75" s="73">
        <v>1.0</v>
      </c>
      <c r="B75" s="88" t="s">
        <v>153</v>
      </c>
      <c r="C75" s="89"/>
      <c r="D75" s="71"/>
      <c r="E75" s="3">
        <v>8.0</v>
      </c>
      <c r="F75" s="111">
        <v>46060.0</v>
      </c>
      <c r="G75" s="112" t="s">
        <v>206</v>
      </c>
      <c r="H75" s="113">
        <v>7500.0</v>
      </c>
      <c r="I75" s="84" t="s">
        <v>156</v>
      </c>
      <c r="J75" s="73"/>
    </row>
    <row r="76" ht="12.75" customHeight="1">
      <c r="A76" s="73">
        <v>2.0</v>
      </c>
      <c r="B76" s="88" t="s">
        <v>154</v>
      </c>
      <c r="C76" s="89"/>
      <c r="D76" s="71"/>
      <c r="E76" s="90">
        <v>9.0</v>
      </c>
      <c r="F76" s="114">
        <v>46058.0</v>
      </c>
      <c r="G76" s="115" t="s">
        <v>207</v>
      </c>
      <c r="H76" s="116">
        <v>4970.0</v>
      </c>
      <c r="I76" s="84" t="s">
        <v>156</v>
      </c>
      <c r="J76" s="73"/>
    </row>
    <row r="77" ht="12.75" customHeight="1">
      <c r="A77" s="73">
        <v>3.0</v>
      </c>
      <c r="B77" s="88" t="s">
        <v>157</v>
      </c>
      <c r="C77" s="89"/>
      <c r="D77" s="71"/>
      <c r="E77" s="3">
        <v>10.0</v>
      </c>
      <c r="F77" s="79"/>
      <c r="G77" s="4"/>
      <c r="H77" s="13"/>
      <c r="I77" s="84" t="s">
        <v>156</v>
      </c>
      <c r="J77" s="73"/>
    </row>
    <row r="78" ht="12.75" customHeight="1">
      <c r="A78" s="73">
        <v>4.0</v>
      </c>
      <c r="B78" s="88" t="s">
        <v>159</v>
      </c>
      <c r="C78" s="89"/>
      <c r="D78" s="71"/>
      <c r="E78" s="3">
        <v>11.0</v>
      </c>
      <c r="F78" s="79"/>
      <c r="G78" s="4"/>
      <c r="H78" s="13"/>
      <c r="I78" s="84" t="s">
        <v>156</v>
      </c>
      <c r="J78" s="73"/>
    </row>
    <row r="79" ht="12.75" customHeight="1">
      <c r="A79" s="73">
        <v>5.0</v>
      </c>
      <c r="B79" s="88" t="s">
        <v>161</v>
      </c>
      <c r="C79" s="89"/>
      <c r="D79" s="71"/>
      <c r="E79" s="3">
        <v>12.0</v>
      </c>
      <c r="F79" s="79"/>
      <c r="G79" s="4"/>
      <c r="H79" s="13"/>
      <c r="I79" s="84" t="s">
        <v>156</v>
      </c>
      <c r="J79" s="73"/>
    </row>
    <row r="80" ht="12.75" customHeight="1">
      <c r="A80" s="73">
        <v>6.0</v>
      </c>
      <c r="B80" s="88" t="s">
        <v>163</v>
      </c>
      <c r="C80" s="89"/>
      <c r="D80" s="71"/>
      <c r="E80" s="3">
        <v>13.0</v>
      </c>
      <c r="F80" s="79"/>
      <c r="G80" s="4"/>
      <c r="H80" s="13"/>
      <c r="I80" s="84" t="s">
        <v>156</v>
      </c>
      <c r="J80" s="73"/>
    </row>
    <row r="81" ht="12.75" customHeight="1">
      <c r="B81" s="88"/>
      <c r="C81" s="89"/>
      <c r="D81" s="71"/>
      <c r="E81" s="3">
        <v>14.0</v>
      </c>
      <c r="F81" s="79"/>
      <c r="G81" s="4"/>
      <c r="H81" s="13"/>
      <c r="I81" s="84" t="s">
        <v>156</v>
      </c>
      <c r="J81" s="73"/>
    </row>
    <row r="82" ht="12.75" customHeight="1">
      <c r="B82" s="92" t="s">
        <v>165</v>
      </c>
      <c r="C82" s="93">
        <f>SUM(C75:C81)</f>
        <v>0</v>
      </c>
      <c r="D82" s="71"/>
      <c r="E82" s="3">
        <v>15.0</v>
      </c>
      <c r="F82" s="79"/>
      <c r="G82" s="4"/>
      <c r="H82" s="13"/>
      <c r="I82" s="84" t="s">
        <v>156</v>
      </c>
      <c r="J82" s="73"/>
    </row>
    <row r="83" ht="12.75" customHeight="1">
      <c r="B83" s="94"/>
      <c r="C83" s="95"/>
      <c r="D83" s="71"/>
      <c r="E83" s="3">
        <v>16.0</v>
      </c>
      <c r="F83" s="79"/>
      <c r="G83" s="10"/>
      <c r="H83" s="13"/>
      <c r="I83" s="84" t="s">
        <v>156</v>
      </c>
      <c r="J83" s="73"/>
    </row>
    <row r="84" ht="12.75" customHeight="1">
      <c r="B84" s="96" t="s">
        <v>167</v>
      </c>
      <c r="C84" s="97"/>
      <c r="D84" s="71"/>
      <c r="E84" s="3">
        <v>17.0</v>
      </c>
      <c r="F84" s="79"/>
      <c r="G84" s="10"/>
      <c r="H84" s="13"/>
      <c r="I84" s="84" t="s">
        <v>156</v>
      </c>
      <c r="J84" s="73"/>
    </row>
    <row r="85" ht="12.75" customHeight="1">
      <c r="B85" s="98" t="s">
        <v>168</v>
      </c>
      <c r="C85" s="97"/>
      <c r="D85" s="71"/>
      <c r="E85" s="3">
        <v>18.0</v>
      </c>
      <c r="F85" s="79"/>
      <c r="G85" s="4"/>
      <c r="H85" s="13"/>
      <c r="I85" s="84" t="s">
        <v>156</v>
      </c>
      <c r="J85" s="73"/>
    </row>
    <row r="86" ht="12.75" customHeight="1">
      <c r="B86" s="98"/>
      <c r="C86" s="97"/>
      <c r="D86" s="71"/>
      <c r="E86" s="3">
        <v>19.0</v>
      </c>
      <c r="F86" s="79"/>
      <c r="G86" s="10"/>
      <c r="H86" s="13"/>
      <c r="I86" s="84" t="s">
        <v>156</v>
      </c>
      <c r="J86" s="73"/>
    </row>
    <row r="87" ht="12.75" customHeight="1">
      <c r="B87" s="98"/>
      <c r="C87" s="97"/>
      <c r="D87" s="71"/>
      <c r="E87" s="3">
        <v>20.0</v>
      </c>
      <c r="F87" s="79"/>
      <c r="G87" s="10"/>
      <c r="H87" s="13"/>
      <c r="I87" s="84" t="s">
        <v>156</v>
      </c>
      <c r="J87" s="73"/>
    </row>
    <row r="88" ht="12.75" customHeight="1">
      <c r="B88" s="99" t="s">
        <v>171</v>
      </c>
      <c r="C88" s="100">
        <f>SUM(C84:C87)</f>
        <v>0</v>
      </c>
      <c r="D88" s="71"/>
      <c r="E88" s="3">
        <v>21.0</v>
      </c>
      <c r="F88" s="79"/>
      <c r="G88" s="11"/>
      <c r="H88" s="101"/>
      <c r="I88" s="82" t="s">
        <v>172</v>
      </c>
      <c r="J88" s="73"/>
    </row>
    <row r="89" ht="12.75" customHeight="1">
      <c r="C89" s="71"/>
      <c r="D89" s="102"/>
      <c r="E89" s="3">
        <v>22.0</v>
      </c>
      <c r="F89" s="79"/>
      <c r="G89" s="10"/>
      <c r="H89" s="13"/>
      <c r="I89" s="84" t="s">
        <v>156</v>
      </c>
      <c r="J89" s="73"/>
    </row>
    <row r="90" ht="12.75" customHeight="1">
      <c r="C90" s="71"/>
      <c r="D90" s="102"/>
      <c r="E90" s="3">
        <v>23.0</v>
      </c>
      <c r="F90" s="79"/>
      <c r="G90" s="10"/>
      <c r="H90" s="13"/>
      <c r="I90" s="10" t="s">
        <v>156</v>
      </c>
      <c r="J90" s="73"/>
    </row>
    <row r="91" ht="12.75" customHeight="1">
      <c r="C91" s="71"/>
      <c r="D91" s="102"/>
      <c r="E91" s="3">
        <v>24.0</v>
      </c>
      <c r="F91" s="79"/>
      <c r="G91" s="10"/>
      <c r="H91" s="13"/>
      <c r="I91" s="10" t="s">
        <v>156</v>
      </c>
      <c r="J91" s="73"/>
    </row>
    <row r="92" ht="12.75" customHeight="1">
      <c r="C92" s="71"/>
      <c r="D92" s="102"/>
      <c r="E92" s="3">
        <v>25.0</v>
      </c>
      <c r="F92" s="79"/>
      <c r="G92" s="10"/>
      <c r="H92" s="13"/>
      <c r="I92" s="10" t="s">
        <v>156</v>
      </c>
      <c r="J92" s="73"/>
    </row>
    <row r="93" ht="12.75" customHeight="1">
      <c r="C93" s="71"/>
      <c r="D93" s="102"/>
      <c r="E93" s="3">
        <v>26.0</v>
      </c>
      <c r="F93" s="79"/>
      <c r="G93" s="10"/>
      <c r="H93" s="13"/>
      <c r="I93" s="10" t="s">
        <v>156</v>
      </c>
      <c r="J93" s="73"/>
    </row>
    <row r="94" ht="12.75" customHeight="1">
      <c r="C94" s="71"/>
      <c r="D94" s="102"/>
      <c r="E94" s="3">
        <v>27.0</v>
      </c>
      <c r="F94" s="79"/>
      <c r="G94" s="10"/>
      <c r="H94" s="13"/>
      <c r="I94" s="10" t="s">
        <v>156</v>
      </c>
      <c r="J94" s="73"/>
    </row>
    <row r="95" ht="12.75" customHeight="1">
      <c r="C95" s="71"/>
      <c r="D95" s="102"/>
      <c r="E95" s="3">
        <v>28.0</v>
      </c>
      <c r="F95" s="79"/>
      <c r="G95" s="10"/>
      <c r="H95" s="13"/>
      <c r="I95" s="10" t="s">
        <v>156</v>
      </c>
      <c r="J95" s="73"/>
    </row>
    <row r="96" ht="12.75" customHeight="1">
      <c r="C96" s="71"/>
      <c r="D96" s="102"/>
      <c r="E96" s="3">
        <v>29.0</v>
      </c>
      <c r="F96" s="79"/>
      <c r="G96" s="10"/>
      <c r="H96" s="13"/>
      <c r="I96" s="10" t="s">
        <v>156</v>
      </c>
      <c r="J96" s="73"/>
    </row>
    <row r="97" ht="12.75" customHeight="1">
      <c r="C97" s="71"/>
      <c r="D97" s="102"/>
      <c r="E97" s="3">
        <v>30.0</v>
      </c>
      <c r="F97" s="79"/>
      <c r="G97" s="10"/>
      <c r="H97" s="13"/>
      <c r="I97" s="10" t="s">
        <v>156</v>
      </c>
      <c r="J97" s="73"/>
    </row>
    <row r="98" ht="12.75" customHeight="1">
      <c r="C98" s="71"/>
      <c r="D98" s="102"/>
      <c r="E98" s="3">
        <v>31.0</v>
      </c>
      <c r="F98" s="79"/>
      <c r="G98" s="10"/>
      <c r="H98" s="13"/>
      <c r="I98" s="10" t="s">
        <v>156</v>
      </c>
      <c r="J98" s="73"/>
    </row>
    <row r="99" ht="12.75" customHeight="1">
      <c r="C99" s="71"/>
      <c r="D99" s="102"/>
      <c r="E99" s="3">
        <v>32.0</v>
      </c>
      <c r="F99" s="79"/>
      <c r="G99" s="10"/>
      <c r="H99" s="13"/>
      <c r="I99" s="10" t="s">
        <v>156</v>
      </c>
      <c r="J99" s="73"/>
    </row>
    <row r="100" ht="12.75" customHeight="1">
      <c r="C100" s="71"/>
      <c r="D100" s="102"/>
      <c r="E100" s="3">
        <v>33.0</v>
      </c>
      <c r="F100" s="79"/>
      <c r="G100" s="10"/>
      <c r="H100" s="13"/>
      <c r="I100" s="10" t="s">
        <v>156</v>
      </c>
      <c r="J100" s="73"/>
    </row>
    <row r="101" ht="12.75" customHeight="1">
      <c r="C101" s="71"/>
      <c r="D101" s="102"/>
      <c r="E101" s="3">
        <v>34.0</v>
      </c>
      <c r="F101" s="79"/>
      <c r="G101" s="10"/>
      <c r="H101" s="13"/>
      <c r="I101" s="10" t="s">
        <v>156</v>
      </c>
      <c r="J101" s="73"/>
    </row>
    <row r="102" ht="12.75" customHeight="1">
      <c r="C102" s="71"/>
      <c r="D102" s="102"/>
      <c r="E102" s="3">
        <v>35.0</v>
      </c>
      <c r="F102" s="79"/>
      <c r="G102" s="10"/>
      <c r="H102" s="13"/>
      <c r="I102" s="10" t="s">
        <v>156</v>
      </c>
      <c r="J102" s="73"/>
    </row>
    <row r="103" ht="12.75" customHeight="1">
      <c r="C103" s="71"/>
      <c r="D103" s="102"/>
      <c r="E103" s="3">
        <v>36.0</v>
      </c>
      <c r="F103" s="79"/>
      <c r="G103" s="10"/>
      <c r="H103" s="13"/>
      <c r="I103" s="10" t="s">
        <v>156</v>
      </c>
      <c r="J103" s="73"/>
    </row>
    <row r="104" ht="12.75" customHeight="1">
      <c r="C104" s="71"/>
      <c r="D104" s="102"/>
      <c r="E104" s="3">
        <v>37.0</v>
      </c>
      <c r="F104" s="79"/>
      <c r="G104" s="10"/>
      <c r="H104" s="13"/>
      <c r="I104" s="10" t="s">
        <v>156</v>
      </c>
      <c r="J104" s="73"/>
    </row>
    <row r="105" ht="12.75" customHeight="1">
      <c r="C105" s="71"/>
      <c r="D105" s="102"/>
      <c r="E105" s="3">
        <v>38.0</v>
      </c>
      <c r="F105" s="79"/>
      <c r="G105" s="10"/>
      <c r="H105" s="13"/>
      <c r="I105" s="10" t="s">
        <v>156</v>
      </c>
      <c r="J105" s="73"/>
    </row>
    <row r="106" ht="12.75" customHeight="1">
      <c r="C106" s="71"/>
      <c r="D106" s="102"/>
      <c r="E106" s="3">
        <v>39.0</v>
      </c>
      <c r="F106" s="79"/>
      <c r="G106" s="10"/>
      <c r="H106" s="13"/>
      <c r="I106" s="10" t="s">
        <v>156</v>
      </c>
      <c r="J106" s="73"/>
    </row>
    <row r="107" ht="12.75" customHeight="1">
      <c r="C107" s="71"/>
      <c r="D107" s="102"/>
      <c r="E107" s="3">
        <v>40.0</v>
      </c>
      <c r="F107" s="79"/>
      <c r="G107" s="10"/>
      <c r="H107" s="13"/>
      <c r="I107" s="10" t="s">
        <v>156</v>
      </c>
      <c r="J107" s="73"/>
    </row>
    <row r="108" ht="12.75" customHeight="1">
      <c r="C108" s="71"/>
      <c r="D108" s="102"/>
      <c r="E108" s="3">
        <v>41.0</v>
      </c>
      <c r="F108" s="79"/>
      <c r="G108" s="10"/>
      <c r="H108" s="13"/>
      <c r="I108" s="10" t="s">
        <v>156</v>
      </c>
      <c r="J108" s="73"/>
    </row>
    <row r="109" ht="12.75" customHeight="1">
      <c r="C109" s="71"/>
      <c r="D109" s="102"/>
      <c r="E109" s="3">
        <v>42.0</v>
      </c>
      <c r="F109" s="79"/>
      <c r="G109" s="10"/>
      <c r="H109" s="13"/>
      <c r="I109" s="10" t="s">
        <v>156</v>
      </c>
      <c r="J109" s="73"/>
    </row>
    <row r="110" ht="12.75" customHeight="1">
      <c r="C110" s="71"/>
      <c r="D110" s="102"/>
      <c r="E110" s="3">
        <v>43.0</v>
      </c>
      <c r="F110" s="79"/>
      <c r="G110" s="10"/>
      <c r="H110" s="13"/>
      <c r="I110" s="10" t="s">
        <v>156</v>
      </c>
      <c r="J110" s="73"/>
    </row>
    <row r="111" ht="12.75" customHeight="1">
      <c r="C111" s="71"/>
      <c r="D111" s="102"/>
      <c r="E111" s="3">
        <v>44.0</v>
      </c>
      <c r="F111" s="79"/>
      <c r="G111" s="10"/>
      <c r="H111" s="13"/>
      <c r="I111" s="10" t="s">
        <v>156</v>
      </c>
      <c r="J111" s="73"/>
    </row>
    <row r="112" ht="12.75" customHeight="1">
      <c r="C112" s="71"/>
      <c r="D112" s="102"/>
      <c r="E112" s="3">
        <v>45.0</v>
      </c>
      <c r="F112" s="79"/>
      <c r="G112" s="10"/>
      <c r="H112" s="13"/>
      <c r="I112" s="10" t="s">
        <v>156</v>
      </c>
      <c r="J112" s="73"/>
    </row>
    <row r="113" ht="12.75" customHeight="1">
      <c r="C113" s="71"/>
      <c r="D113" s="102"/>
      <c r="E113" s="3">
        <v>46.0</v>
      </c>
      <c r="F113" s="79"/>
      <c r="G113" s="10"/>
      <c r="H113" s="13"/>
      <c r="I113" s="10" t="s">
        <v>156</v>
      </c>
      <c r="J113" s="73"/>
    </row>
    <row r="114" ht="12.75" customHeight="1">
      <c r="C114" s="71"/>
      <c r="D114" s="102"/>
      <c r="E114" s="3">
        <v>47.0</v>
      </c>
      <c r="F114" s="79"/>
      <c r="G114" s="10"/>
      <c r="H114" s="13"/>
      <c r="I114" s="10" t="s">
        <v>156</v>
      </c>
      <c r="J114" s="73"/>
    </row>
    <row r="115" ht="12.75" customHeight="1">
      <c r="C115" s="71"/>
      <c r="D115" s="102"/>
      <c r="E115" s="3">
        <v>48.0</v>
      </c>
      <c r="F115" s="79"/>
      <c r="G115" s="10"/>
      <c r="H115" s="13"/>
      <c r="I115" s="10" t="s">
        <v>156</v>
      </c>
      <c r="J115" s="73"/>
    </row>
    <row r="116" ht="12.75" customHeight="1">
      <c r="C116" s="71"/>
      <c r="D116" s="102"/>
      <c r="E116" s="3">
        <v>49.0</v>
      </c>
      <c r="F116" s="79"/>
      <c r="G116" s="10"/>
      <c r="H116" s="13"/>
      <c r="I116" s="10" t="s">
        <v>156</v>
      </c>
      <c r="J116" s="73"/>
    </row>
    <row r="117" ht="12.75" customHeight="1">
      <c r="C117" s="71"/>
      <c r="D117" s="102"/>
      <c r="E117" s="3">
        <v>50.0</v>
      </c>
      <c r="F117" s="79"/>
      <c r="G117" s="10"/>
      <c r="H117" s="13"/>
      <c r="I117" s="10" t="s">
        <v>156</v>
      </c>
      <c r="J117" s="73"/>
    </row>
    <row r="118" ht="12.75" customHeight="1">
      <c r="C118" s="71"/>
      <c r="D118" s="102"/>
      <c r="E118" s="3">
        <v>51.0</v>
      </c>
      <c r="F118" s="79"/>
      <c r="G118" s="10"/>
      <c r="H118" s="13"/>
      <c r="I118" s="10" t="s">
        <v>156</v>
      </c>
      <c r="J118" s="73"/>
    </row>
    <row r="119" ht="12.75" customHeight="1">
      <c r="C119" s="71"/>
      <c r="D119" s="102"/>
      <c r="E119" s="3">
        <v>52.0</v>
      </c>
      <c r="F119" s="79"/>
      <c r="G119" s="10"/>
      <c r="H119" s="13"/>
      <c r="I119" s="10" t="s">
        <v>156</v>
      </c>
      <c r="J119" s="73"/>
    </row>
    <row r="120" ht="12.75" customHeight="1">
      <c r="C120" s="71"/>
      <c r="D120" s="102"/>
      <c r="E120" s="3">
        <v>53.0</v>
      </c>
      <c r="F120" s="79"/>
      <c r="G120" s="10"/>
      <c r="H120" s="13"/>
      <c r="I120" s="10" t="s">
        <v>156</v>
      </c>
      <c r="J120" s="73"/>
    </row>
    <row r="121" ht="12.75" customHeight="1">
      <c r="C121" s="71"/>
      <c r="D121" s="102"/>
      <c r="E121" s="3">
        <v>54.0</v>
      </c>
      <c r="F121" s="103"/>
      <c r="G121" s="10"/>
      <c r="H121" s="13"/>
      <c r="I121" s="10" t="s">
        <v>156</v>
      </c>
      <c r="J121" s="72"/>
    </row>
    <row r="122" ht="12.75" customHeight="1">
      <c r="C122" s="71"/>
      <c r="D122" s="102"/>
      <c r="E122" s="3">
        <v>55.0</v>
      </c>
      <c r="F122" s="103"/>
      <c r="G122" s="10"/>
      <c r="H122" s="13"/>
      <c r="I122" s="10" t="s">
        <v>156</v>
      </c>
      <c r="J122" s="73"/>
    </row>
    <row r="123" ht="12.75" customHeight="1">
      <c r="C123" s="71"/>
      <c r="D123" s="102"/>
      <c r="E123" s="3">
        <v>56.0</v>
      </c>
      <c r="F123" s="103"/>
      <c r="G123" s="10"/>
      <c r="H123" s="13"/>
      <c r="I123" s="10" t="s">
        <v>156</v>
      </c>
      <c r="J123" s="73"/>
    </row>
    <row r="124" ht="12.75" customHeight="1">
      <c r="C124" s="71"/>
      <c r="D124" s="102"/>
      <c r="E124" s="3">
        <v>57.0</v>
      </c>
      <c r="F124" s="103"/>
      <c r="G124" s="10"/>
      <c r="H124" s="13"/>
      <c r="I124" s="10" t="s">
        <v>156</v>
      </c>
      <c r="J124" s="73"/>
    </row>
    <row r="125" ht="12.75" customHeight="1">
      <c r="C125" s="71"/>
      <c r="D125" s="102"/>
      <c r="E125" s="3">
        <v>58.0</v>
      </c>
      <c r="F125" s="103"/>
      <c r="G125" s="10"/>
      <c r="H125" s="13"/>
      <c r="I125" s="10" t="s">
        <v>156</v>
      </c>
      <c r="J125" s="73"/>
    </row>
    <row r="126" ht="12.75" customHeight="1">
      <c r="C126" s="71"/>
      <c r="D126" s="102"/>
      <c r="E126" s="3">
        <v>59.0</v>
      </c>
      <c r="F126" s="103"/>
      <c r="G126" s="10"/>
      <c r="H126" s="13"/>
      <c r="I126" s="10" t="s">
        <v>156</v>
      </c>
      <c r="J126" s="73"/>
    </row>
    <row r="127" ht="12.75" customHeight="1">
      <c r="C127" s="71"/>
      <c r="D127" s="102"/>
      <c r="E127" s="3">
        <v>60.0</v>
      </c>
      <c r="F127" s="103"/>
      <c r="G127" s="10"/>
      <c r="H127" s="13"/>
      <c r="I127" s="10" t="s">
        <v>156</v>
      </c>
      <c r="J127" s="73"/>
    </row>
    <row r="128" ht="12.75" customHeight="1">
      <c r="C128" s="71"/>
      <c r="D128" s="102"/>
      <c r="E128" s="3">
        <v>61.0</v>
      </c>
      <c r="F128" s="103"/>
      <c r="G128" s="10"/>
      <c r="H128" s="13"/>
      <c r="I128" s="10" t="s">
        <v>156</v>
      </c>
      <c r="J128" s="73"/>
    </row>
    <row r="129" ht="12.75" customHeight="1">
      <c r="C129" s="71"/>
      <c r="D129" s="102"/>
      <c r="E129" s="3">
        <v>62.0</v>
      </c>
      <c r="F129" s="103"/>
      <c r="G129" s="10"/>
      <c r="H129" s="13"/>
      <c r="I129" s="10" t="s">
        <v>156</v>
      </c>
      <c r="J129" s="73"/>
    </row>
    <row r="130" ht="12.75" customHeight="1">
      <c r="C130" s="71"/>
      <c r="D130" s="102"/>
      <c r="E130" s="3">
        <v>63.0</v>
      </c>
      <c r="F130" s="103"/>
      <c r="G130" s="10"/>
      <c r="H130" s="13"/>
      <c r="I130" s="10" t="s">
        <v>156</v>
      </c>
      <c r="J130" s="73"/>
    </row>
    <row r="131" ht="12.75" customHeight="1">
      <c r="C131" s="71"/>
      <c r="D131" s="102"/>
      <c r="E131" s="3">
        <v>64.0</v>
      </c>
      <c r="F131" s="103"/>
      <c r="G131" s="11"/>
      <c r="H131" s="13"/>
      <c r="I131" s="10" t="s">
        <v>156</v>
      </c>
      <c r="J131" s="73"/>
    </row>
    <row r="132" ht="12.75" customHeight="1">
      <c r="C132" s="71"/>
      <c r="D132" s="102"/>
      <c r="E132" s="3">
        <v>65.0</v>
      </c>
      <c r="F132" s="103"/>
      <c r="G132" s="10"/>
      <c r="H132" s="13"/>
      <c r="I132" s="10" t="s">
        <v>156</v>
      </c>
      <c r="J132" s="73"/>
    </row>
    <row r="133" ht="12.75" customHeight="1">
      <c r="C133" s="71"/>
      <c r="D133" s="102"/>
      <c r="E133" s="3">
        <v>66.0</v>
      </c>
      <c r="F133" s="103"/>
      <c r="G133" s="10"/>
      <c r="H133" s="13"/>
      <c r="I133" s="10" t="s">
        <v>156</v>
      </c>
      <c r="J133" s="73"/>
    </row>
    <row r="134" ht="12.75" customHeight="1">
      <c r="C134" s="71"/>
      <c r="D134" s="102"/>
      <c r="E134" s="3">
        <v>67.0</v>
      </c>
      <c r="F134" s="103"/>
      <c r="G134" s="10"/>
      <c r="H134" s="13"/>
      <c r="I134" s="10" t="s">
        <v>156</v>
      </c>
      <c r="J134" s="73"/>
    </row>
    <row r="135" ht="12.75" customHeight="1">
      <c r="C135" s="71"/>
      <c r="D135" s="102"/>
      <c r="E135" s="3">
        <v>68.0</v>
      </c>
      <c r="F135" s="103"/>
      <c r="G135" s="10"/>
      <c r="H135" s="13"/>
      <c r="I135" s="10" t="s">
        <v>156</v>
      </c>
      <c r="J135" s="73"/>
    </row>
    <row r="136" ht="12.75" customHeight="1">
      <c r="C136" s="71"/>
      <c r="D136" s="102"/>
      <c r="E136" s="3">
        <v>69.0</v>
      </c>
      <c r="F136" s="103"/>
      <c r="G136" s="10"/>
      <c r="H136" s="13"/>
      <c r="I136" s="10" t="s">
        <v>156</v>
      </c>
      <c r="J136" s="73"/>
    </row>
    <row r="137" ht="12.75" customHeight="1">
      <c r="C137" s="71"/>
      <c r="D137" s="102"/>
      <c r="E137" s="3">
        <v>70.0</v>
      </c>
      <c r="F137" s="103"/>
      <c r="G137" s="10"/>
      <c r="H137" s="13"/>
      <c r="I137" s="10" t="s">
        <v>156</v>
      </c>
      <c r="J137" s="73"/>
    </row>
    <row r="138" ht="12.75" customHeight="1">
      <c r="C138" s="71"/>
      <c r="D138" s="102"/>
      <c r="E138" s="3">
        <v>71.0</v>
      </c>
      <c r="F138" s="103"/>
      <c r="G138" s="10"/>
      <c r="H138" s="13"/>
      <c r="I138" s="10" t="s">
        <v>156</v>
      </c>
      <c r="J138" s="73"/>
    </row>
    <row r="139" ht="12.75" customHeight="1">
      <c r="C139" s="71"/>
      <c r="D139" s="102"/>
      <c r="E139" s="3">
        <v>72.0</v>
      </c>
      <c r="F139" s="103"/>
      <c r="G139" s="10"/>
      <c r="H139" s="13"/>
      <c r="I139" s="10" t="s">
        <v>156</v>
      </c>
      <c r="J139" s="73"/>
    </row>
    <row r="140" ht="12.75" customHeight="1">
      <c r="C140" s="71"/>
      <c r="D140" s="102"/>
      <c r="E140" s="3">
        <v>73.0</v>
      </c>
      <c r="F140" s="103"/>
      <c r="G140" s="10"/>
      <c r="H140" s="13"/>
      <c r="I140" s="10" t="s">
        <v>156</v>
      </c>
      <c r="J140" s="73"/>
    </row>
    <row r="141" ht="12.75" customHeight="1">
      <c r="C141" s="71"/>
      <c r="D141" s="102"/>
      <c r="E141" s="3">
        <v>74.0</v>
      </c>
      <c r="F141" s="103"/>
      <c r="G141" s="10"/>
      <c r="H141" s="13"/>
      <c r="I141" s="10" t="s">
        <v>156</v>
      </c>
      <c r="J141" s="73"/>
    </row>
    <row r="142" ht="12.75" customHeight="1">
      <c r="C142" s="71"/>
      <c r="D142" s="102"/>
      <c r="E142" s="3">
        <v>75.0</v>
      </c>
      <c r="F142" s="103"/>
      <c r="G142" s="10"/>
      <c r="H142" s="13"/>
      <c r="I142" s="10" t="s">
        <v>156</v>
      </c>
      <c r="J142" s="73"/>
    </row>
    <row r="143" ht="12.75" customHeight="1">
      <c r="C143" s="71"/>
      <c r="D143" s="102"/>
      <c r="E143" s="3">
        <v>76.0</v>
      </c>
      <c r="F143" s="103"/>
      <c r="G143" s="10"/>
      <c r="H143" s="13"/>
      <c r="I143" s="10" t="s">
        <v>156</v>
      </c>
      <c r="J143" s="73"/>
    </row>
    <row r="144" ht="12.75" customHeight="1">
      <c r="C144" s="71"/>
      <c r="D144" s="102"/>
      <c r="E144" s="3">
        <v>77.0</v>
      </c>
      <c r="F144" s="103"/>
      <c r="G144" s="10"/>
      <c r="H144" s="13"/>
      <c r="I144" s="10" t="s">
        <v>156</v>
      </c>
      <c r="J144" s="73"/>
    </row>
    <row r="145" ht="12.75" customHeight="1">
      <c r="C145" s="71"/>
      <c r="D145" s="102"/>
      <c r="E145" s="3">
        <v>78.0</v>
      </c>
      <c r="F145" s="103"/>
      <c r="G145" s="10"/>
      <c r="H145" s="13"/>
      <c r="I145" s="10" t="s">
        <v>156</v>
      </c>
      <c r="J145" s="73"/>
    </row>
    <row r="146" ht="12.75" customHeight="1">
      <c r="C146" s="71"/>
      <c r="D146" s="102"/>
      <c r="E146" s="3">
        <v>79.0</v>
      </c>
      <c r="F146" s="103"/>
      <c r="G146" s="10"/>
      <c r="H146" s="13"/>
      <c r="I146" s="10" t="s">
        <v>156</v>
      </c>
      <c r="J146" s="73"/>
    </row>
    <row r="147" ht="12.75" customHeight="1">
      <c r="C147" s="71"/>
      <c r="D147" s="102"/>
      <c r="E147" s="3">
        <v>80.0</v>
      </c>
      <c r="F147" s="103"/>
      <c r="G147" s="10"/>
      <c r="H147" s="13"/>
      <c r="I147" s="10" t="s">
        <v>156</v>
      </c>
      <c r="J147" s="73"/>
    </row>
    <row r="148" ht="12.75" customHeight="1">
      <c r="C148" s="71"/>
      <c r="D148" s="102"/>
      <c r="E148" s="3">
        <v>81.0</v>
      </c>
      <c r="F148" s="103"/>
      <c r="G148" s="10"/>
      <c r="H148" s="13"/>
      <c r="I148" s="10" t="s">
        <v>156</v>
      </c>
    </row>
    <row r="149" ht="12.75" customHeight="1">
      <c r="C149" s="71"/>
      <c r="D149" s="102"/>
      <c r="E149" s="3">
        <v>82.0</v>
      </c>
      <c r="F149" s="103"/>
      <c r="G149" s="10"/>
      <c r="H149" s="13"/>
      <c r="I149" s="10" t="s">
        <v>156</v>
      </c>
    </row>
    <row r="150" ht="12.75" customHeight="1">
      <c r="C150" s="71"/>
      <c r="D150" s="102"/>
      <c r="E150" s="3">
        <v>83.0</v>
      </c>
      <c r="F150" s="103"/>
      <c r="G150" s="10"/>
      <c r="H150" s="13"/>
      <c r="I150" s="10" t="s">
        <v>156</v>
      </c>
    </row>
    <row r="151" ht="12.75" customHeight="1">
      <c r="C151" s="71"/>
      <c r="D151" s="102"/>
      <c r="E151" s="3">
        <v>84.0</v>
      </c>
      <c r="F151" s="103"/>
      <c r="G151" s="10"/>
      <c r="H151" s="13"/>
      <c r="I151" s="10" t="s">
        <v>156</v>
      </c>
    </row>
    <row r="152" ht="12.75" customHeight="1">
      <c r="C152" s="71"/>
      <c r="D152" s="102"/>
      <c r="E152" s="3">
        <v>85.0</v>
      </c>
      <c r="F152" s="103"/>
      <c r="G152" s="10"/>
      <c r="H152" s="13"/>
      <c r="I152" s="10" t="s">
        <v>156</v>
      </c>
    </row>
    <row r="153" ht="12.75" customHeight="1">
      <c r="C153" s="71"/>
      <c r="D153" s="102"/>
      <c r="E153" s="3">
        <v>86.0</v>
      </c>
      <c r="F153" s="103"/>
      <c r="G153" s="10"/>
      <c r="H153" s="13"/>
      <c r="I153" s="10" t="s">
        <v>156</v>
      </c>
    </row>
    <row r="154" ht="12.75" customHeight="1">
      <c r="C154" s="71"/>
      <c r="D154" s="102"/>
      <c r="E154" s="3">
        <v>87.0</v>
      </c>
      <c r="F154" s="103"/>
      <c r="G154" s="10"/>
      <c r="H154" s="13"/>
      <c r="I154" s="10" t="s">
        <v>156</v>
      </c>
    </row>
    <row r="155" ht="12.75" customHeight="1">
      <c r="C155" s="71"/>
      <c r="D155" s="102"/>
      <c r="E155" s="3">
        <v>88.0</v>
      </c>
      <c r="F155" s="103"/>
      <c r="G155" s="10"/>
      <c r="H155" s="13"/>
      <c r="I155" s="10" t="s">
        <v>156</v>
      </c>
    </row>
    <row r="156" ht="12.75" customHeight="1">
      <c r="C156" s="71"/>
      <c r="D156" s="102"/>
      <c r="E156" s="3">
        <v>89.0</v>
      </c>
      <c r="F156" s="103"/>
      <c r="G156" s="10"/>
      <c r="H156" s="13"/>
      <c r="I156" s="10" t="s">
        <v>156</v>
      </c>
    </row>
    <row r="157" ht="12.75" customHeight="1">
      <c r="C157" s="71"/>
      <c r="D157" s="102"/>
      <c r="E157" s="3">
        <v>90.0</v>
      </c>
      <c r="F157" s="103"/>
      <c r="G157" s="10"/>
      <c r="H157" s="13"/>
      <c r="I157" s="10" t="s">
        <v>156</v>
      </c>
    </row>
    <row r="158" ht="12.75" customHeight="1">
      <c r="C158" s="71"/>
      <c r="D158" s="102"/>
      <c r="E158" s="3">
        <v>91.0</v>
      </c>
      <c r="F158" s="103"/>
      <c r="G158" s="10"/>
      <c r="H158" s="13"/>
      <c r="I158" s="10" t="s">
        <v>156</v>
      </c>
    </row>
    <row r="159" ht="12.75" customHeight="1">
      <c r="C159" s="71"/>
      <c r="D159" s="102"/>
      <c r="E159" s="3">
        <v>92.0</v>
      </c>
      <c r="F159" s="103"/>
      <c r="G159" s="10"/>
      <c r="H159" s="13"/>
      <c r="I159" s="10" t="s">
        <v>156</v>
      </c>
    </row>
    <row r="160" ht="12.75" customHeight="1">
      <c r="C160" s="71"/>
      <c r="D160" s="102"/>
      <c r="E160" s="3">
        <v>93.0</v>
      </c>
      <c r="F160" s="103"/>
      <c r="G160" s="10"/>
      <c r="H160" s="13"/>
      <c r="I160" s="10" t="s">
        <v>156</v>
      </c>
    </row>
    <row r="161" ht="12.75" customHeight="1">
      <c r="C161" s="71"/>
      <c r="D161" s="102"/>
      <c r="E161" s="3">
        <v>94.0</v>
      </c>
      <c r="F161" s="103"/>
      <c r="G161" s="10"/>
      <c r="H161" s="13"/>
      <c r="I161" s="10" t="s">
        <v>156</v>
      </c>
    </row>
    <row r="162" ht="12.75" customHeight="1">
      <c r="C162" s="71"/>
      <c r="D162" s="102"/>
      <c r="E162" s="3">
        <v>95.0</v>
      </c>
      <c r="F162" s="103"/>
      <c r="G162" s="10"/>
      <c r="H162" s="13"/>
      <c r="I162" s="10" t="s">
        <v>156</v>
      </c>
    </row>
    <row r="163" ht="12.75" customHeight="1">
      <c r="C163" s="71"/>
      <c r="D163" s="102"/>
      <c r="E163" s="3">
        <v>96.0</v>
      </c>
      <c r="F163" s="103"/>
      <c r="G163" s="10"/>
      <c r="H163" s="13"/>
      <c r="I163" s="10" t="s">
        <v>156</v>
      </c>
    </row>
    <row r="164" ht="12.75" customHeight="1">
      <c r="C164" s="71"/>
      <c r="D164" s="102"/>
      <c r="E164" s="3">
        <v>97.0</v>
      </c>
      <c r="F164" s="103"/>
      <c r="G164" s="10"/>
      <c r="H164" s="13"/>
      <c r="I164" s="10" t="s">
        <v>156</v>
      </c>
    </row>
    <row r="165" ht="12.75" customHeight="1">
      <c r="C165" s="71"/>
      <c r="D165" s="102"/>
      <c r="E165" s="3">
        <v>98.0</v>
      </c>
      <c r="F165" s="103"/>
      <c r="G165" s="10"/>
      <c r="H165" s="13"/>
      <c r="I165" s="10" t="s">
        <v>156</v>
      </c>
    </row>
    <row r="166" ht="12.75" customHeight="1">
      <c r="C166" s="71"/>
      <c r="D166" s="102"/>
      <c r="E166" s="3">
        <v>99.0</v>
      </c>
      <c r="F166" s="103"/>
      <c r="G166" s="10"/>
      <c r="H166" s="13"/>
      <c r="I166" s="10" t="s">
        <v>156</v>
      </c>
    </row>
    <row r="167" ht="12.75" customHeight="1">
      <c r="C167" s="71"/>
      <c r="D167" s="102"/>
      <c r="E167" s="3">
        <v>100.0</v>
      </c>
      <c r="F167" s="103"/>
      <c r="G167" s="10"/>
      <c r="H167" s="13"/>
      <c r="I167" s="10" t="s">
        <v>156</v>
      </c>
    </row>
    <row r="168" ht="12.75" customHeight="1">
      <c r="C168" s="71"/>
      <c r="D168" s="102"/>
      <c r="E168" s="3">
        <v>101.0</v>
      </c>
      <c r="F168" s="103"/>
      <c r="G168" s="10"/>
      <c r="H168" s="13"/>
      <c r="I168" s="10" t="s">
        <v>156</v>
      </c>
    </row>
    <row r="169" ht="12.75" customHeight="1">
      <c r="C169" s="71"/>
      <c r="D169" s="102"/>
      <c r="E169" s="3">
        <v>102.0</v>
      </c>
      <c r="F169" s="103"/>
      <c r="G169" s="10"/>
      <c r="H169" s="13"/>
      <c r="I169" s="10" t="s">
        <v>156</v>
      </c>
    </row>
    <row r="170" ht="12.75" customHeight="1">
      <c r="C170" s="71"/>
      <c r="D170" s="102"/>
      <c r="E170" s="3">
        <v>103.0</v>
      </c>
      <c r="F170" s="103"/>
      <c r="G170" s="10"/>
      <c r="H170" s="13"/>
      <c r="I170" s="10" t="s">
        <v>156</v>
      </c>
    </row>
    <row r="171" ht="12.75" customHeight="1">
      <c r="C171" s="71"/>
      <c r="D171" s="102"/>
      <c r="E171" s="3">
        <v>104.0</v>
      </c>
      <c r="F171" s="103"/>
      <c r="G171" s="10"/>
      <c r="H171" s="13"/>
      <c r="I171" s="10" t="s">
        <v>156</v>
      </c>
    </row>
    <row r="172" ht="12.75" customHeight="1">
      <c r="C172" s="71"/>
      <c r="D172" s="102"/>
      <c r="E172" s="3">
        <v>105.0</v>
      </c>
      <c r="F172" s="103"/>
      <c r="G172" s="10"/>
      <c r="H172" s="13"/>
      <c r="I172" s="10" t="s">
        <v>156</v>
      </c>
    </row>
    <row r="173" ht="12.75" customHeight="1">
      <c r="C173" s="71"/>
      <c r="D173" s="102"/>
      <c r="E173" s="3">
        <v>106.0</v>
      </c>
      <c r="F173" s="103"/>
      <c r="G173" s="10"/>
      <c r="H173" s="13"/>
      <c r="I173" s="10" t="s">
        <v>156</v>
      </c>
    </row>
    <row r="174" ht="12.75" customHeight="1">
      <c r="C174" s="71"/>
      <c r="D174" s="102"/>
      <c r="E174" s="3">
        <v>107.0</v>
      </c>
      <c r="F174" s="103"/>
      <c r="G174" s="10"/>
      <c r="H174" s="13"/>
      <c r="I174" s="10" t="s">
        <v>156</v>
      </c>
    </row>
    <row r="175" ht="12.75" customHeight="1">
      <c r="C175" s="71"/>
      <c r="D175" s="102"/>
      <c r="E175" s="3">
        <v>108.0</v>
      </c>
      <c r="F175" s="103"/>
      <c r="G175" s="10"/>
      <c r="H175" s="13"/>
      <c r="I175" s="10" t="s">
        <v>156</v>
      </c>
    </row>
    <row r="176" ht="12.75" customHeight="1">
      <c r="C176" s="71"/>
      <c r="D176" s="102"/>
      <c r="E176" s="3">
        <v>109.0</v>
      </c>
      <c r="F176" s="103"/>
      <c r="G176" s="10"/>
      <c r="H176" s="13"/>
      <c r="I176" s="10" t="s">
        <v>156</v>
      </c>
    </row>
    <row r="177" ht="12.75" customHeight="1">
      <c r="C177" s="71"/>
      <c r="D177" s="102"/>
      <c r="E177" s="3">
        <v>110.0</v>
      </c>
      <c r="F177" s="103"/>
      <c r="G177" s="10"/>
      <c r="H177" s="13"/>
      <c r="I177" s="10" t="s">
        <v>156</v>
      </c>
    </row>
    <row r="178" ht="12.75" customHeight="1">
      <c r="C178" s="71"/>
      <c r="D178" s="102"/>
      <c r="E178" s="3">
        <v>111.0</v>
      </c>
      <c r="F178" s="103"/>
      <c r="G178" s="10"/>
      <c r="H178" s="13"/>
      <c r="I178" s="10" t="s">
        <v>156</v>
      </c>
    </row>
    <row r="179" ht="12.75" customHeight="1">
      <c r="C179" s="71"/>
      <c r="D179" s="102"/>
      <c r="E179" s="3">
        <v>112.0</v>
      </c>
      <c r="F179" s="103"/>
      <c r="G179" s="10"/>
      <c r="H179" s="13"/>
      <c r="I179" s="10" t="s">
        <v>156</v>
      </c>
    </row>
    <row r="180" ht="12.75" customHeight="1">
      <c r="C180" s="71"/>
      <c r="D180" s="102"/>
      <c r="E180" s="3">
        <v>113.0</v>
      </c>
      <c r="F180" s="103"/>
      <c r="G180" s="10"/>
      <c r="H180" s="13"/>
      <c r="I180" s="10" t="s">
        <v>156</v>
      </c>
    </row>
    <row r="181" ht="12.75" customHeight="1">
      <c r="C181" s="71"/>
      <c r="D181" s="102"/>
      <c r="E181" s="3">
        <v>114.0</v>
      </c>
      <c r="F181" s="103"/>
      <c r="G181" s="10"/>
      <c r="H181" s="13"/>
      <c r="I181" s="10" t="s">
        <v>156</v>
      </c>
    </row>
    <row r="182" ht="12.75" customHeight="1">
      <c r="C182" s="71"/>
      <c r="D182" s="102"/>
      <c r="E182" s="3">
        <v>115.0</v>
      </c>
      <c r="F182" s="103"/>
      <c r="G182" s="10"/>
      <c r="H182" s="13"/>
      <c r="I182" s="10" t="s">
        <v>156</v>
      </c>
    </row>
    <row r="183" ht="12.75" customHeight="1">
      <c r="C183" s="71"/>
      <c r="D183" s="102"/>
      <c r="E183" s="3">
        <v>116.0</v>
      </c>
      <c r="F183" s="103"/>
      <c r="G183" s="10"/>
      <c r="H183" s="13"/>
      <c r="I183" s="10" t="s">
        <v>156</v>
      </c>
    </row>
    <row r="184" ht="12.75" customHeight="1">
      <c r="C184" s="71"/>
      <c r="D184" s="102"/>
      <c r="E184" s="3">
        <v>117.0</v>
      </c>
      <c r="F184" s="103"/>
      <c r="G184" s="10"/>
      <c r="H184" s="13"/>
      <c r="I184" s="10" t="s">
        <v>156</v>
      </c>
    </row>
    <row r="185" ht="12.75" customHeight="1">
      <c r="C185" s="71"/>
      <c r="D185" s="102"/>
      <c r="E185" s="3">
        <v>118.0</v>
      </c>
      <c r="F185" s="103"/>
      <c r="G185" s="10"/>
      <c r="H185" s="13"/>
      <c r="I185" s="10" t="s">
        <v>156</v>
      </c>
    </row>
    <row r="186" ht="12.75" customHeight="1">
      <c r="C186" s="71"/>
      <c r="D186" s="102"/>
      <c r="E186" s="3">
        <v>119.0</v>
      </c>
      <c r="F186" s="103"/>
      <c r="G186" s="10"/>
      <c r="H186" s="13"/>
      <c r="I186" s="10" t="s">
        <v>156</v>
      </c>
    </row>
    <row r="187" ht="12.75" customHeight="1">
      <c r="C187" s="71"/>
      <c r="D187" s="102"/>
      <c r="E187" s="3">
        <v>120.0</v>
      </c>
      <c r="F187" s="103"/>
      <c r="G187" s="10"/>
      <c r="H187" s="13"/>
      <c r="I187" s="10" t="s">
        <v>156</v>
      </c>
    </row>
    <row r="188" ht="12.75" customHeight="1">
      <c r="C188" s="71"/>
      <c r="D188" s="102"/>
      <c r="E188" s="3">
        <v>121.0</v>
      </c>
      <c r="F188" s="103"/>
      <c r="G188" s="10"/>
      <c r="H188" s="13"/>
      <c r="I188" s="10" t="s">
        <v>156</v>
      </c>
    </row>
    <row r="189" ht="12.75" customHeight="1">
      <c r="C189" s="71"/>
      <c r="D189" s="102"/>
      <c r="E189" s="3">
        <v>122.0</v>
      </c>
      <c r="F189" s="103"/>
      <c r="G189" s="10"/>
      <c r="H189" s="13"/>
      <c r="I189" s="10" t="s">
        <v>156</v>
      </c>
    </row>
    <row r="190" ht="12.75" customHeight="1">
      <c r="C190" s="71"/>
      <c r="D190" s="102"/>
      <c r="E190" s="3">
        <v>123.0</v>
      </c>
      <c r="F190" s="103"/>
      <c r="G190" s="10"/>
      <c r="H190" s="13"/>
      <c r="I190" s="10" t="s">
        <v>156</v>
      </c>
    </row>
    <row r="191" ht="12.75" customHeight="1">
      <c r="C191" s="71"/>
      <c r="D191" s="102"/>
      <c r="E191" s="3">
        <v>124.0</v>
      </c>
      <c r="F191" s="103"/>
      <c r="G191" s="10"/>
      <c r="H191" s="13"/>
      <c r="I191" s="10" t="s">
        <v>156</v>
      </c>
    </row>
    <row r="192" ht="12.75" customHeight="1">
      <c r="C192" s="71"/>
      <c r="D192" s="102"/>
      <c r="E192" s="3">
        <v>125.0</v>
      </c>
      <c r="F192" s="103"/>
      <c r="G192" s="10"/>
      <c r="H192" s="13"/>
      <c r="I192" s="10" t="s">
        <v>156</v>
      </c>
    </row>
    <row r="193" ht="12.75" customHeight="1">
      <c r="C193" s="71"/>
      <c r="D193" s="102"/>
      <c r="E193" s="3">
        <v>126.0</v>
      </c>
      <c r="F193" s="103"/>
      <c r="G193" s="10"/>
      <c r="H193" s="13"/>
      <c r="I193" s="10" t="s">
        <v>156</v>
      </c>
    </row>
    <row r="194" ht="12.75" customHeight="1">
      <c r="C194" s="71"/>
      <c r="D194" s="102"/>
      <c r="E194" s="3">
        <v>127.0</v>
      </c>
      <c r="F194" s="103"/>
      <c r="G194" s="10"/>
      <c r="H194" s="13"/>
      <c r="I194" s="10" t="s">
        <v>156</v>
      </c>
    </row>
    <row r="195" ht="12.75" customHeight="1">
      <c r="C195" s="71"/>
      <c r="D195" s="102"/>
      <c r="E195" s="3">
        <v>128.0</v>
      </c>
      <c r="F195" s="103"/>
      <c r="G195" s="10"/>
      <c r="H195" s="13"/>
      <c r="I195" s="10" t="s">
        <v>156</v>
      </c>
    </row>
    <row r="196" ht="12.75" customHeight="1">
      <c r="C196" s="71"/>
      <c r="D196" s="102"/>
      <c r="E196" s="3">
        <v>129.0</v>
      </c>
      <c r="F196" s="103"/>
      <c r="G196" s="10"/>
      <c r="H196" s="13"/>
      <c r="I196" s="10" t="s">
        <v>156</v>
      </c>
    </row>
    <row r="197" ht="12.75" customHeight="1">
      <c r="C197" s="71"/>
      <c r="D197" s="102"/>
      <c r="E197" s="3">
        <v>130.0</v>
      </c>
      <c r="F197" s="103"/>
      <c r="G197" s="10"/>
      <c r="H197" s="13"/>
      <c r="I197" s="10" t="s">
        <v>156</v>
      </c>
    </row>
    <row r="198" ht="12.75" customHeight="1">
      <c r="C198" s="71"/>
      <c r="D198" s="102"/>
      <c r="E198" s="3">
        <v>131.0</v>
      </c>
      <c r="F198" s="103"/>
      <c r="G198" s="10"/>
      <c r="H198" s="13"/>
      <c r="I198" s="10" t="s">
        <v>156</v>
      </c>
    </row>
    <row r="199" ht="12.75" customHeight="1">
      <c r="C199" s="71"/>
      <c r="D199" s="102"/>
      <c r="E199" s="3">
        <v>132.0</v>
      </c>
      <c r="F199" s="103"/>
      <c r="G199" s="10"/>
      <c r="H199" s="13"/>
      <c r="I199" s="10" t="s">
        <v>156</v>
      </c>
    </row>
    <row r="200" ht="12.75" customHeight="1">
      <c r="C200" s="71"/>
      <c r="D200" s="102"/>
      <c r="E200" s="3">
        <v>133.0</v>
      </c>
      <c r="F200" s="103"/>
      <c r="G200" s="10"/>
      <c r="H200" s="13"/>
      <c r="I200" s="10" t="s">
        <v>156</v>
      </c>
    </row>
    <row r="201" ht="12.75" customHeight="1">
      <c r="C201" s="71"/>
      <c r="D201" s="102"/>
      <c r="E201" s="3">
        <v>134.0</v>
      </c>
      <c r="F201" s="103"/>
      <c r="G201" s="10"/>
      <c r="H201" s="13"/>
      <c r="I201" s="10" t="s">
        <v>156</v>
      </c>
    </row>
    <row r="202" ht="12.75" customHeight="1">
      <c r="C202" s="71"/>
      <c r="D202" s="102"/>
      <c r="E202" s="3">
        <v>135.0</v>
      </c>
      <c r="F202" s="103"/>
      <c r="G202" s="10"/>
      <c r="H202" s="13"/>
      <c r="I202" s="10" t="s">
        <v>156</v>
      </c>
    </row>
    <row r="203" ht="12.75" customHeight="1">
      <c r="C203" s="71"/>
      <c r="D203" s="102"/>
      <c r="E203" s="3">
        <v>136.0</v>
      </c>
      <c r="F203" s="103"/>
      <c r="G203" s="10"/>
      <c r="H203" s="13"/>
      <c r="I203" s="10" t="s">
        <v>156</v>
      </c>
    </row>
    <row r="204" ht="12.75" customHeight="1">
      <c r="C204" s="71"/>
      <c r="D204" s="102"/>
      <c r="E204" s="3">
        <v>137.0</v>
      </c>
      <c r="F204" s="103"/>
      <c r="G204" s="10"/>
      <c r="H204" s="13"/>
      <c r="I204" s="10" t="s">
        <v>156</v>
      </c>
    </row>
    <row r="205" ht="12.75" customHeight="1">
      <c r="C205" s="71"/>
      <c r="D205" s="102"/>
      <c r="E205" s="3">
        <v>138.0</v>
      </c>
      <c r="F205" s="103"/>
      <c r="G205" s="10"/>
      <c r="H205" s="13"/>
      <c r="I205" s="10" t="s">
        <v>156</v>
      </c>
    </row>
    <row r="206" ht="12.75" customHeight="1">
      <c r="C206" s="71"/>
      <c r="D206" s="102"/>
      <c r="E206" s="3">
        <v>139.0</v>
      </c>
      <c r="F206" s="103"/>
      <c r="G206" s="10"/>
      <c r="H206" s="13"/>
      <c r="I206" s="10" t="s">
        <v>156</v>
      </c>
    </row>
    <row r="207" ht="12.75" customHeight="1">
      <c r="C207" s="71"/>
      <c r="D207" s="102"/>
      <c r="E207" s="3">
        <v>140.0</v>
      </c>
      <c r="F207" s="103"/>
      <c r="G207" s="10"/>
      <c r="H207" s="13"/>
      <c r="I207" s="10" t="s">
        <v>156</v>
      </c>
    </row>
    <row r="208" ht="12.75" customHeight="1">
      <c r="C208" s="71"/>
      <c r="D208" s="102"/>
      <c r="E208" s="3">
        <v>141.0</v>
      </c>
      <c r="F208" s="103"/>
      <c r="G208" s="10"/>
      <c r="H208" s="13"/>
      <c r="I208" s="10" t="s">
        <v>156</v>
      </c>
    </row>
    <row r="209" ht="12.75" customHeight="1">
      <c r="C209" s="71"/>
      <c r="D209" s="102"/>
      <c r="E209" s="3">
        <v>142.0</v>
      </c>
      <c r="F209" s="103"/>
      <c r="G209" s="10"/>
      <c r="H209" s="13"/>
      <c r="I209" s="10" t="s">
        <v>156</v>
      </c>
    </row>
    <row r="210" ht="12.75" customHeight="1">
      <c r="C210" s="71"/>
      <c r="D210" s="102"/>
      <c r="E210" s="3">
        <v>143.0</v>
      </c>
      <c r="F210" s="103"/>
      <c r="G210" s="10"/>
      <c r="H210" s="13"/>
      <c r="I210" s="10" t="s">
        <v>156</v>
      </c>
    </row>
    <row r="211" ht="12.75" customHeight="1">
      <c r="C211" s="71"/>
      <c r="D211" s="102"/>
      <c r="E211" s="3">
        <v>144.0</v>
      </c>
      <c r="F211" s="103"/>
      <c r="G211" s="10"/>
      <c r="H211" s="13"/>
      <c r="I211" s="10" t="s">
        <v>156</v>
      </c>
    </row>
    <row r="212" ht="12.75" customHeight="1">
      <c r="C212" s="71"/>
      <c r="D212" s="102"/>
      <c r="E212" s="3">
        <v>145.0</v>
      </c>
      <c r="F212" s="103"/>
      <c r="G212" s="10"/>
      <c r="H212" s="13"/>
      <c r="I212" s="10" t="s">
        <v>156</v>
      </c>
    </row>
    <row r="213" ht="12.75" customHeight="1">
      <c r="C213" s="71"/>
      <c r="D213" s="102"/>
      <c r="E213" s="3">
        <v>146.0</v>
      </c>
      <c r="F213" s="103"/>
      <c r="G213" s="10"/>
      <c r="H213" s="13"/>
      <c r="I213" s="10" t="s">
        <v>156</v>
      </c>
    </row>
    <row r="214" ht="12.75" customHeight="1">
      <c r="C214" s="71"/>
      <c r="D214" s="102"/>
      <c r="E214" s="3">
        <v>147.0</v>
      </c>
      <c r="F214" s="103"/>
      <c r="G214" s="10"/>
      <c r="H214" s="13"/>
      <c r="I214" s="10" t="s">
        <v>156</v>
      </c>
    </row>
    <row r="215" ht="12.75" customHeight="1">
      <c r="C215" s="71"/>
      <c r="D215" s="102"/>
      <c r="E215" s="3">
        <v>148.0</v>
      </c>
      <c r="F215" s="103"/>
      <c r="G215" s="10"/>
      <c r="H215" s="13"/>
      <c r="I215" s="10" t="s">
        <v>156</v>
      </c>
    </row>
    <row r="216" ht="12.75" customHeight="1">
      <c r="C216" s="71"/>
      <c r="D216" s="102"/>
      <c r="E216" s="3">
        <v>149.0</v>
      </c>
      <c r="F216" s="103"/>
      <c r="G216" s="10"/>
      <c r="H216" s="13"/>
      <c r="I216" s="10" t="s">
        <v>156</v>
      </c>
    </row>
    <row r="217" ht="12.75" customHeight="1">
      <c r="C217" s="71"/>
      <c r="D217" s="102"/>
      <c r="E217" s="3">
        <v>150.0</v>
      </c>
      <c r="F217" s="103"/>
      <c r="G217" s="10"/>
      <c r="H217" s="13"/>
      <c r="I217" s="10" t="s">
        <v>156</v>
      </c>
    </row>
    <row r="218" ht="12.75" customHeight="1">
      <c r="C218" s="71"/>
      <c r="D218" s="102"/>
      <c r="E218" s="3">
        <v>151.0</v>
      </c>
      <c r="F218" s="103"/>
      <c r="G218" s="10"/>
      <c r="H218" s="13"/>
      <c r="I218" s="10" t="s">
        <v>156</v>
      </c>
    </row>
    <row r="219" ht="12.75" customHeight="1">
      <c r="C219" s="71"/>
      <c r="D219" s="102"/>
      <c r="E219" s="3">
        <v>152.0</v>
      </c>
      <c r="F219" s="103"/>
      <c r="G219" s="10"/>
      <c r="H219" s="13"/>
      <c r="I219" s="10" t="s">
        <v>156</v>
      </c>
    </row>
    <row r="220" ht="12.75" customHeight="1">
      <c r="C220" s="71"/>
      <c r="D220" s="102"/>
      <c r="E220" s="3">
        <v>153.0</v>
      </c>
      <c r="F220" s="103"/>
      <c r="G220" s="10"/>
      <c r="H220" s="13"/>
      <c r="I220" s="10" t="s">
        <v>156</v>
      </c>
    </row>
    <row r="221" ht="12.75" customHeight="1">
      <c r="C221" s="71"/>
      <c r="D221" s="102"/>
      <c r="E221" s="3">
        <v>154.0</v>
      </c>
      <c r="F221" s="103"/>
      <c r="G221" s="10"/>
      <c r="H221" s="13"/>
      <c r="I221" s="10" t="s">
        <v>156</v>
      </c>
    </row>
    <row r="222" ht="12.75" customHeight="1">
      <c r="C222" s="71"/>
      <c r="D222" s="102"/>
      <c r="E222" s="3">
        <v>155.0</v>
      </c>
      <c r="F222" s="103"/>
      <c r="G222" s="10"/>
      <c r="H222" s="13"/>
      <c r="I222" s="10" t="s">
        <v>156</v>
      </c>
    </row>
    <row r="223" ht="12.75" customHeight="1">
      <c r="C223" s="71"/>
      <c r="D223" s="102"/>
      <c r="E223" s="3">
        <v>156.0</v>
      </c>
      <c r="F223" s="103"/>
      <c r="G223" s="10"/>
      <c r="H223" s="13"/>
      <c r="I223" s="10" t="s">
        <v>156</v>
      </c>
    </row>
    <row r="224" ht="12.75" customHeight="1">
      <c r="C224" s="71"/>
      <c r="D224" s="102"/>
      <c r="E224" s="3">
        <v>157.0</v>
      </c>
      <c r="F224" s="103"/>
      <c r="G224" s="10"/>
      <c r="H224" s="13"/>
      <c r="I224" s="10" t="s">
        <v>156</v>
      </c>
    </row>
    <row r="225" ht="12.75" customHeight="1">
      <c r="C225" s="71"/>
      <c r="D225" s="102"/>
      <c r="E225" s="3">
        <v>158.0</v>
      </c>
      <c r="F225" s="103"/>
      <c r="G225" s="10"/>
      <c r="H225" s="13"/>
      <c r="I225" s="10" t="s">
        <v>156</v>
      </c>
    </row>
    <row r="226" ht="12.75" customHeight="1">
      <c r="C226" s="71"/>
      <c r="D226" s="102"/>
      <c r="E226" s="3">
        <v>159.0</v>
      </c>
      <c r="F226" s="103"/>
      <c r="G226" s="10"/>
      <c r="H226" s="13"/>
      <c r="I226" s="10" t="s">
        <v>156</v>
      </c>
    </row>
    <row r="227" ht="12.75" customHeight="1">
      <c r="C227" s="71"/>
      <c r="D227" s="102"/>
      <c r="E227" s="3">
        <v>160.0</v>
      </c>
      <c r="F227" s="103"/>
      <c r="G227" s="10"/>
      <c r="H227" s="13"/>
      <c r="I227" s="10" t="s">
        <v>156</v>
      </c>
    </row>
    <row r="228" ht="12.75" customHeight="1">
      <c r="C228" s="71"/>
      <c r="D228" s="102"/>
      <c r="E228" s="3">
        <v>161.0</v>
      </c>
      <c r="F228" s="103"/>
      <c r="G228" s="10"/>
      <c r="H228" s="13"/>
      <c r="I228" s="10" t="s">
        <v>156</v>
      </c>
    </row>
    <row r="229" ht="12.75" customHeight="1">
      <c r="C229" s="71"/>
      <c r="D229" s="102"/>
      <c r="E229" s="3">
        <v>162.0</v>
      </c>
      <c r="F229" s="103"/>
      <c r="G229" s="10"/>
      <c r="H229" s="13"/>
      <c r="I229" s="10" t="s">
        <v>156</v>
      </c>
    </row>
    <row r="230" ht="12.75" customHeight="1">
      <c r="C230" s="71"/>
      <c r="D230" s="102"/>
      <c r="E230" s="3">
        <v>163.0</v>
      </c>
      <c r="F230" s="103"/>
      <c r="G230" s="10"/>
      <c r="H230" s="13"/>
      <c r="I230" s="10" t="s">
        <v>156</v>
      </c>
    </row>
    <row r="231" ht="12.75" customHeight="1">
      <c r="C231" s="71"/>
      <c r="D231" s="102"/>
      <c r="E231" s="3">
        <v>164.0</v>
      </c>
      <c r="F231" s="103"/>
      <c r="G231" s="10"/>
      <c r="H231" s="13"/>
      <c r="I231" s="10" t="s">
        <v>156</v>
      </c>
    </row>
    <row r="232" ht="12.75" customHeight="1">
      <c r="C232" s="71"/>
      <c r="D232" s="102"/>
      <c r="E232" s="3">
        <v>165.0</v>
      </c>
      <c r="F232" s="103"/>
      <c r="G232" s="10"/>
      <c r="H232" s="13"/>
      <c r="I232" s="10" t="s">
        <v>156</v>
      </c>
    </row>
    <row r="233" ht="12.75" customHeight="1">
      <c r="C233" s="71"/>
      <c r="D233" s="102"/>
      <c r="E233" s="3">
        <v>166.0</v>
      </c>
      <c r="F233" s="103"/>
      <c r="G233" s="10"/>
      <c r="H233" s="13"/>
      <c r="I233" s="10" t="s">
        <v>156</v>
      </c>
    </row>
    <row r="234" ht="12.75" customHeight="1">
      <c r="C234" s="71"/>
      <c r="D234" s="102"/>
      <c r="E234" s="3">
        <v>167.0</v>
      </c>
      <c r="F234" s="103"/>
      <c r="G234" s="10"/>
      <c r="H234" s="13"/>
      <c r="I234" s="10" t="s">
        <v>156</v>
      </c>
    </row>
    <row r="235" ht="12.75" customHeight="1">
      <c r="C235" s="71"/>
      <c r="D235" s="102"/>
      <c r="E235" s="3">
        <v>168.0</v>
      </c>
      <c r="F235" s="103"/>
      <c r="G235" s="10"/>
      <c r="H235" s="13"/>
      <c r="I235" s="10" t="s">
        <v>156</v>
      </c>
    </row>
    <row r="236" ht="12.75" customHeight="1">
      <c r="C236" s="71"/>
      <c r="D236" s="102"/>
      <c r="E236" s="3">
        <v>169.0</v>
      </c>
      <c r="F236" s="103"/>
      <c r="G236" s="10"/>
      <c r="H236" s="13"/>
      <c r="I236" s="10" t="s">
        <v>156</v>
      </c>
    </row>
    <row r="237" ht="12.75" customHeight="1">
      <c r="C237" s="71"/>
      <c r="D237" s="102"/>
      <c r="E237" s="3">
        <v>170.0</v>
      </c>
      <c r="F237" s="103"/>
      <c r="G237" s="10"/>
      <c r="H237" s="13"/>
      <c r="I237" s="10" t="s">
        <v>156</v>
      </c>
    </row>
    <row r="238" ht="12.75" customHeight="1">
      <c r="C238" s="71"/>
      <c r="D238" s="102"/>
      <c r="E238" s="3">
        <v>171.0</v>
      </c>
      <c r="F238" s="103"/>
      <c r="G238" s="10"/>
      <c r="H238" s="13"/>
      <c r="I238" s="10" t="s">
        <v>156</v>
      </c>
    </row>
    <row r="239" ht="12.75" customHeight="1">
      <c r="C239" s="71"/>
      <c r="D239" s="102"/>
      <c r="E239" s="3">
        <v>172.0</v>
      </c>
      <c r="F239" s="103"/>
      <c r="G239" s="10"/>
      <c r="H239" s="13"/>
      <c r="I239" s="10" t="s">
        <v>156</v>
      </c>
    </row>
    <row r="240" ht="12.75" customHeight="1">
      <c r="C240" s="71"/>
      <c r="D240" s="102"/>
      <c r="E240" s="3">
        <v>173.0</v>
      </c>
      <c r="F240" s="103"/>
      <c r="G240" s="10"/>
      <c r="H240" s="13"/>
      <c r="I240" s="10" t="s">
        <v>156</v>
      </c>
    </row>
    <row r="241" ht="12.75" customHeight="1">
      <c r="C241" s="71"/>
      <c r="D241" s="102"/>
      <c r="E241" s="3">
        <v>174.0</v>
      </c>
      <c r="F241" s="103"/>
      <c r="G241" s="10"/>
      <c r="H241" s="13"/>
      <c r="I241" s="10" t="s">
        <v>156</v>
      </c>
    </row>
    <row r="242" ht="12.75" customHeight="1">
      <c r="C242" s="71"/>
      <c r="D242" s="102"/>
      <c r="E242" s="3">
        <v>175.0</v>
      </c>
      <c r="F242" s="103"/>
      <c r="G242" s="10"/>
      <c r="H242" s="13"/>
      <c r="I242" s="10" t="s">
        <v>156</v>
      </c>
    </row>
    <row r="243" ht="12.75" customHeight="1">
      <c r="C243" s="71"/>
      <c r="D243" s="102"/>
      <c r="E243" s="3">
        <v>176.0</v>
      </c>
      <c r="F243" s="103"/>
      <c r="G243" s="10"/>
      <c r="H243" s="13"/>
      <c r="I243" s="10" t="s">
        <v>156</v>
      </c>
    </row>
    <row r="244" ht="12.75" customHeight="1">
      <c r="C244" s="71"/>
      <c r="D244" s="102"/>
      <c r="E244" s="3">
        <v>177.0</v>
      </c>
      <c r="F244" s="103"/>
      <c r="G244" s="10"/>
      <c r="H244" s="13"/>
      <c r="I244" s="10" t="s">
        <v>156</v>
      </c>
    </row>
    <row r="245" ht="12.75" customHeight="1">
      <c r="C245" s="71"/>
      <c r="D245" s="102"/>
      <c r="E245" s="3">
        <v>178.0</v>
      </c>
      <c r="F245" s="103"/>
      <c r="G245" s="10"/>
      <c r="H245" s="13"/>
      <c r="I245" s="10" t="s">
        <v>156</v>
      </c>
    </row>
    <row r="246" ht="12.75" customHeight="1">
      <c r="C246" s="71"/>
      <c r="D246" s="102"/>
      <c r="E246" s="3">
        <v>179.0</v>
      </c>
      <c r="F246" s="103"/>
      <c r="G246" s="10"/>
      <c r="H246" s="13"/>
      <c r="I246" s="10" t="s">
        <v>156</v>
      </c>
    </row>
    <row r="247" ht="12.75" customHeight="1">
      <c r="C247" s="71"/>
      <c r="D247" s="102"/>
      <c r="E247" s="3">
        <v>180.0</v>
      </c>
      <c r="F247" s="103"/>
      <c r="G247" s="10"/>
      <c r="H247" s="13"/>
      <c r="I247" s="10" t="s">
        <v>156</v>
      </c>
    </row>
    <row r="248" ht="12.75" customHeight="1">
      <c r="C248" s="71"/>
      <c r="D248" s="102"/>
      <c r="E248" s="3">
        <v>181.0</v>
      </c>
      <c r="F248" s="103"/>
      <c r="G248" s="10"/>
      <c r="H248" s="13"/>
      <c r="I248" s="10" t="s">
        <v>156</v>
      </c>
    </row>
    <row r="249" ht="12.75" customHeight="1">
      <c r="C249" s="71"/>
      <c r="D249" s="102"/>
      <c r="E249" s="3">
        <v>182.0</v>
      </c>
      <c r="F249" s="103"/>
      <c r="G249" s="10"/>
      <c r="H249" s="13"/>
      <c r="I249" s="10" t="s">
        <v>156</v>
      </c>
    </row>
    <row r="250" ht="12.75" customHeight="1">
      <c r="C250" s="71"/>
      <c r="D250" s="102"/>
      <c r="E250" s="3">
        <v>183.0</v>
      </c>
      <c r="F250" s="103"/>
      <c r="G250" s="10"/>
      <c r="H250" s="13"/>
      <c r="I250" s="10" t="s">
        <v>156</v>
      </c>
    </row>
    <row r="251" ht="12.75" customHeight="1">
      <c r="C251" s="71"/>
      <c r="D251" s="102"/>
      <c r="E251" s="3">
        <v>184.0</v>
      </c>
      <c r="F251" s="103"/>
      <c r="G251" s="10"/>
      <c r="H251" s="13"/>
      <c r="I251" s="10" t="s">
        <v>156</v>
      </c>
    </row>
    <row r="252" ht="12.75" customHeight="1">
      <c r="C252" s="71"/>
      <c r="D252" s="102"/>
      <c r="E252" s="3">
        <v>185.0</v>
      </c>
      <c r="F252" s="103"/>
      <c r="G252" s="10"/>
      <c r="H252" s="13"/>
      <c r="I252" s="10" t="s">
        <v>156</v>
      </c>
    </row>
    <row r="253" ht="12.75" customHeight="1">
      <c r="C253" s="71"/>
      <c r="D253" s="102"/>
      <c r="E253" s="3">
        <v>186.0</v>
      </c>
      <c r="F253" s="103"/>
      <c r="G253" s="10"/>
      <c r="H253" s="13"/>
      <c r="I253" s="10" t="s">
        <v>156</v>
      </c>
    </row>
    <row r="254" ht="12.75" customHeight="1">
      <c r="C254" s="71"/>
      <c r="D254" s="102"/>
      <c r="E254" s="3">
        <v>187.0</v>
      </c>
      <c r="F254" s="103"/>
      <c r="G254" s="10"/>
      <c r="H254" s="13"/>
      <c r="I254" s="10" t="s">
        <v>156</v>
      </c>
    </row>
    <row r="255" ht="12.75" customHeight="1">
      <c r="C255" s="71"/>
      <c r="D255" s="102"/>
      <c r="E255" s="3">
        <v>188.0</v>
      </c>
      <c r="F255" s="103"/>
      <c r="G255" s="10"/>
      <c r="H255" s="13"/>
      <c r="I255" s="10" t="s">
        <v>156</v>
      </c>
    </row>
    <row r="256" ht="12.75" customHeight="1">
      <c r="C256" s="71"/>
      <c r="D256" s="102"/>
      <c r="E256" s="3">
        <v>189.0</v>
      </c>
      <c r="F256" s="103"/>
      <c r="G256" s="10"/>
      <c r="H256" s="13"/>
      <c r="I256" s="10" t="s">
        <v>156</v>
      </c>
    </row>
    <row r="257" ht="12.75" customHeight="1">
      <c r="C257" s="71"/>
      <c r="D257" s="102"/>
      <c r="E257" s="3">
        <v>190.0</v>
      </c>
      <c r="F257" s="103"/>
      <c r="G257" s="10"/>
      <c r="H257" s="13"/>
      <c r="I257" s="10" t="s">
        <v>156</v>
      </c>
    </row>
    <row r="258" ht="12.75" customHeight="1">
      <c r="C258" s="71"/>
      <c r="D258" s="102"/>
      <c r="E258" s="3">
        <v>191.0</v>
      </c>
      <c r="F258" s="103"/>
      <c r="G258" s="10"/>
      <c r="H258" s="13"/>
      <c r="I258" s="10" t="s">
        <v>156</v>
      </c>
    </row>
    <row r="259" ht="12.75" customHeight="1">
      <c r="C259" s="71"/>
      <c r="D259" s="102"/>
      <c r="E259" s="3">
        <v>192.0</v>
      </c>
      <c r="F259" s="103"/>
      <c r="G259" s="10"/>
      <c r="H259" s="13"/>
      <c r="I259" s="10" t="s">
        <v>156</v>
      </c>
    </row>
    <row r="260" ht="12.75" customHeight="1">
      <c r="C260" s="71"/>
      <c r="D260" s="102"/>
      <c r="E260" s="3">
        <v>193.0</v>
      </c>
      <c r="F260" s="103"/>
      <c r="G260" s="10"/>
      <c r="H260" s="13"/>
      <c r="I260" s="10" t="s">
        <v>156</v>
      </c>
    </row>
    <row r="261" ht="12.75" customHeight="1">
      <c r="C261" s="71"/>
      <c r="D261" s="102"/>
      <c r="E261" s="3">
        <v>194.0</v>
      </c>
      <c r="F261" s="103"/>
      <c r="G261" s="10"/>
      <c r="H261" s="13"/>
      <c r="I261" s="10" t="s">
        <v>156</v>
      </c>
    </row>
    <row r="262" ht="12.75" customHeight="1">
      <c r="C262" s="71"/>
      <c r="D262" s="102"/>
      <c r="E262" s="3">
        <v>195.0</v>
      </c>
      <c r="F262" s="103"/>
      <c r="G262" s="10"/>
      <c r="H262" s="13"/>
      <c r="I262" s="10" t="s">
        <v>156</v>
      </c>
    </row>
    <row r="263" ht="12.75" customHeight="1">
      <c r="C263" s="71"/>
      <c r="D263" s="102"/>
      <c r="E263" s="3">
        <v>196.0</v>
      </c>
      <c r="F263" s="103"/>
      <c r="G263" s="10"/>
      <c r="H263" s="13"/>
      <c r="I263" s="10" t="s">
        <v>156</v>
      </c>
    </row>
    <row r="264" ht="12.75" customHeight="1">
      <c r="C264" s="71"/>
      <c r="D264" s="102"/>
      <c r="E264" s="3">
        <v>197.0</v>
      </c>
      <c r="F264" s="103"/>
      <c r="G264" s="10"/>
      <c r="H264" s="13"/>
      <c r="I264" s="10" t="s">
        <v>156</v>
      </c>
    </row>
    <row r="265" ht="12.75" customHeight="1">
      <c r="C265" s="71"/>
      <c r="D265" s="102"/>
      <c r="E265" s="3">
        <v>198.0</v>
      </c>
      <c r="F265" s="103"/>
      <c r="G265" s="10"/>
      <c r="H265" s="13"/>
      <c r="I265" s="10" t="s">
        <v>156</v>
      </c>
    </row>
    <row r="266" ht="12.75" customHeight="1">
      <c r="C266" s="71"/>
      <c r="D266" s="102"/>
      <c r="E266" s="3">
        <v>199.0</v>
      </c>
      <c r="F266" s="103"/>
      <c r="G266" s="10"/>
      <c r="H266" s="13"/>
      <c r="I266" s="10" t="s">
        <v>156</v>
      </c>
    </row>
    <row r="267" ht="12.75" customHeight="1">
      <c r="C267" s="71"/>
      <c r="D267" s="102"/>
      <c r="E267" s="3">
        <v>200.0</v>
      </c>
      <c r="F267" s="103"/>
      <c r="G267" s="10"/>
      <c r="H267" s="13"/>
      <c r="I267" s="10" t="s">
        <v>156</v>
      </c>
    </row>
    <row r="268" ht="12.75" customHeight="1">
      <c r="C268" s="71"/>
      <c r="D268" s="102"/>
      <c r="E268" s="3">
        <v>201.0</v>
      </c>
      <c r="F268" s="103"/>
      <c r="G268" s="10"/>
      <c r="H268" s="13"/>
      <c r="I268" s="10" t="s">
        <v>156</v>
      </c>
    </row>
    <row r="269" ht="12.75" customHeight="1">
      <c r="C269" s="71"/>
      <c r="D269" s="102"/>
      <c r="E269" s="3">
        <v>202.0</v>
      </c>
      <c r="F269" s="103"/>
      <c r="G269" s="10"/>
      <c r="H269" s="13"/>
      <c r="I269" s="10" t="s">
        <v>156</v>
      </c>
    </row>
    <row r="270" ht="12.75" customHeight="1">
      <c r="C270" s="71"/>
      <c r="D270" s="102"/>
      <c r="E270" s="3">
        <v>203.0</v>
      </c>
      <c r="F270" s="103"/>
      <c r="G270" s="10"/>
      <c r="H270" s="13"/>
      <c r="I270" s="10" t="s">
        <v>156</v>
      </c>
    </row>
    <row r="271" ht="12.75" customHeight="1">
      <c r="C271" s="71"/>
      <c r="D271" s="102"/>
      <c r="E271" s="3">
        <v>204.0</v>
      </c>
      <c r="F271" s="103"/>
      <c r="G271" s="10"/>
      <c r="H271" s="13"/>
      <c r="I271" s="10" t="s">
        <v>156</v>
      </c>
    </row>
    <row r="272" ht="12.75" customHeight="1">
      <c r="C272" s="71"/>
      <c r="D272" s="102"/>
      <c r="E272" s="3">
        <v>205.0</v>
      </c>
      <c r="F272" s="103"/>
      <c r="G272" s="10"/>
      <c r="H272" s="13"/>
      <c r="I272" s="10" t="s">
        <v>156</v>
      </c>
    </row>
    <row r="273" ht="12.75" customHeight="1">
      <c r="C273" s="71"/>
      <c r="D273" s="102"/>
      <c r="E273" s="3">
        <v>206.0</v>
      </c>
      <c r="F273" s="103"/>
      <c r="G273" s="10"/>
      <c r="H273" s="13"/>
      <c r="I273" s="10" t="s">
        <v>156</v>
      </c>
    </row>
    <row r="274" ht="12.75" customHeight="1">
      <c r="C274" s="71"/>
      <c r="D274" s="102"/>
      <c r="E274" s="3">
        <v>207.0</v>
      </c>
      <c r="F274" s="103"/>
      <c r="G274" s="10"/>
      <c r="H274" s="13"/>
      <c r="I274" s="10" t="s">
        <v>156</v>
      </c>
    </row>
    <row r="275" ht="12.75" customHeight="1">
      <c r="C275" s="71"/>
      <c r="D275" s="102"/>
      <c r="E275" s="3">
        <v>208.0</v>
      </c>
      <c r="F275" s="103"/>
      <c r="G275" s="10"/>
      <c r="H275" s="13"/>
      <c r="I275" s="10" t="s">
        <v>156</v>
      </c>
    </row>
    <row r="276" ht="12.75" customHeight="1">
      <c r="C276" s="71"/>
      <c r="D276" s="102"/>
      <c r="E276" s="3">
        <v>209.0</v>
      </c>
      <c r="F276" s="103"/>
      <c r="G276" s="10"/>
      <c r="H276" s="13"/>
      <c r="I276" s="10" t="s">
        <v>156</v>
      </c>
    </row>
    <row r="277" ht="12.75" customHeight="1">
      <c r="C277" s="71"/>
      <c r="D277" s="102"/>
      <c r="E277" s="3">
        <v>210.0</v>
      </c>
      <c r="F277" s="103"/>
      <c r="G277" s="10"/>
      <c r="H277" s="13"/>
      <c r="I277" s="10" t="s">
        <v>156</v>
      </c>
    </row>
    <row r="278" ht="12.75" customHeight="1">
      <c r="C278" s="71"/>
      <c r="D278" s="102"/>
      <c r="E278" s="3">
        <v>211.0</v>
      </c>
      <c r="F278" s="103"/>
      <c r="G278" s="10"/>
      <c r="H278" s="13"/>
      <c r="I278" s="10" t="s">
        <v>156</v>
      </c>
    </row>
    <row r="279" ht="12.75" customHeight="1">
      <c r="C279" s="71"/>
      <c r="D279" s="102"/>
      <c r="E279" s="3">
        <v>212.0</v>
      </c>
      <c r="F279" s="103"/>
      <c r="G279" s="10"/>
      <c r="H279" s="13"/>
      <c r="I279" s="10" t="s">
        <v>156</v>
      </c>
    </row>
    <row r="280" ht="12.75" customHeight="1">
      <c r="C280" s="71"/>
      <c r="D280" s="102"/>
      <c r="E280" s="3">
        <v>213.0</v>
      </c>
      <c r="F280" s="103"/>
      <c r="G280" s="10"/>
      <c r="H280" s="13"/>
      <c r="I280" s="10" t="s">
        <v>156</v>
      </c>
    </row>
    <row r="281" ht="12.75" customHeight="1">
      <c r="C281" s="71"/>
      <c r="D281" s="102"/>
      <c r="E281" s="3">
        <v>214.0</v>
      </c>
      <c r="F281" s="103"/>
      <c r="G281" s="10"/>
      <c r="H281" s="13"/>
      <c r="I281" s="10" t="s">
        <v>156</v>
      </c>
    </row>
    <row r="282" ht="12.75" customHeight="1">
      <c r="C282" s="71"/>
      <c r="D282" s="102"/>
      <c r="E282" s="3">
        <v>215.0</v>
      </c>
      <c r="F282" s="103"/>
      <c r="G282" s="10"/>
      <c r="H282" s="13"/>
      <c r="I282" s="10" t="s">
        <v>156</v>
      </c>
    </row>
    <row r="283" ht="12.75" customHeight="1">
      <c r="C283" s="71"/>
      <c r="D283" s="102"/>
      <c r="E283" s="3">
        <v>216.0</v>
      </c>
      <c r="F283" s="103"/>
      <c r="G283" s="10"/>
      <c r="H283" s="13"/>
      <c r="I283" s="10" t="s">
        <v>156</v>
      </c>
    </row>
    <row r="284" ht="12.75" customHeight="1">
      <c r="C284" s="71"/>
      <c r="D284" s="102"/>
      <c r="E284" s="3">
        <v>217.0</v>
      </c>
      <c r="F284" s="103"/>
      <c r="G284" s="10"/>
      <c r="H284" s="13"/>
      <c r="I284" s="10" t="s">
        <v>156</v>
      </c>
    </row>
    <row r="285" ht="12.75" customHeight="1">
      <c r="C285" s="71"/>
      <c r="D285" s="102"/>
      <c r="E285" s="3">
        <v>218.0</v>
      </c>
      <c r="F285" s="103"/>
      <c r="G285" s="10"/>
      <c r="H285" s="13"/>
      <c r="I285" s="10" t="s">
        <v>156</v>
      </c>
    </row>
    <row r="286" ht="12.75" customHeight="1">
      <c r="C286" s="71"/>
      <c r="D286" s="102"/>
      <c r="E286" s="3">
        <v>219.0</v>
      </c>
      <c r="F286" s="103"/>
      <c r="G286" s="10"/>
      <c r="H286" s="13"/>
      <c r="I286" s="10" t="s">
        <v>156</v>
      </c>
    </row>
    <row r="287" ht="12.75" customHeight="1">
      <c r="C287" s="71"/>
      <c r="D287" s="102"/>
      <c r="E287" s="3">
        <v>220.0</v>
      </c>
      <c r="F287" s="103"/>
      <c r="G287" s="10"/>
      <c r="H287" s="13"/>
      <c r="I287" s="10" t="s">
        <v>156</v>
      </c>
    </row>
    <row r="288" ht="12.75" customHeight="1">
      <c r="C288" s="71"/>
      <c r="D288" s="102"/>
      <c r="E288" s="3">
        <v>221.0</v>
      </c>
      <c r="F288" s="103"/>
      <c r="G288" s="10"/>
      <c r="H288" s="13"/>
      <c r="I288" s="10" t="s">
        <v>156</v>
      </c>
    </row>
    <row r="289" ht="12.75" customHeight="1">
      <c r="C289" s="71"/>
      <c r="D289" s="102"/>
      <c r="E289" s="3">
        <v>222.0</v>
      </c>
      <c r="F289" s="103"/>
      <c r="G289" s="10"/>
      <c r="H289" s="13"/>
      <c r="I289" s="10" t="s">
        <v>156</v>
      </c>
    </row>
    <row r="290" ht="12.75" customHeight="1">
      <c r="C290" s="71"/>
      <c r="D290" s="102"/>
      <c r="E290" s="3">
        <v>223.0</v>
      </c>
      <c r="F290" s="103"/>
      <c r="G290" s="10"/>
      <c r="H290" s="13"/>
      <c r="I290" s="10" t="s">
        <v>156</v>
      </c>
    </row>
    <row r="291" ht="12.75" customHeight="1">
      <c r="C291" s="71"/>
      <c r="D291" s="102"/>
      <c r="E291" s="3">
        <v>224.0</v>
      </c>
      <c r="F291" s="103"/>
      <c r="G291" s="10"/>
      <c r="H291" s="13"/>
      <c r="I291" s="10" t="s">
        <v>156</v>
      </c>
    </row>
    <row r="292" ht="12.75" customHeight="1">
      <c r="C292" s="71"/>
      <c r="D292" s="102"/>
      <c r="E292" s="3">
        <v>225.0</v>
      </c>
      <c r="F292" s="103"/>
      <c r="G292" s="10"/>
      <c r="H292" s="13"/>
      <c r="I292" s="10" t="s">
        <v>156</v>
      </c>
    </row>
    <row r="293" ht="12.75" customHeight="1">
      <c r="C293" s="71"/>
      <c r="D293" s="102"/>
      <c r="E293" s="3">
        <v>226.0</v>
      </c>
      <c r="F293" s="103"/>
      <c r="G293" s="10"/>
      <c r="H293" s="13"/>
      <c r="I293" s="10" t="s">
        <v>156</v>
      </c>
    </row>
    <row r="294" ht="12.75" customHeight="1">
      <c r="C294" s="71"/>
      <c r="D294" s="102"/>
      <c r="E294" s="3">
        <v>227.0</v>
      </c>
      <c r="F294" s="103"/>
      <c r="G294" s="10"/>
      <c r="H294" s="13"/>
      <c r="I294" s="10" t="s">
        <v>156</v>
      </c>
    </row>
    <row r="295" ht="12.75" customHeight="1">
      <c r="C295" s="71"/>
      <c r="D295" s="102"/>
      <c r="E295" s="3">
        <v>228.0</v>
      </c>
      <c r="F295" s="103"/>
      <c r="G295" s="10"/>
      <c r="H295" s="13"/>
      <c r="I295" s="10" t="s">
        <v>156</v>
      </c>
    </row>
    <row r="296" ht="12.75" customHeight="1">
      <c r="C296" s="71"/>
      <c r="D296" s="102"/>
      <c r="E296" s="3">
        <v>229.0</v>
      </c>
      <c r="F296" s="103"/>
      <c r="G296" s="10"/>
      <c r="H296" s="13"/>
      <c r="I296" s="10" t="s">
        <v>156</v>
      </c>
    </row>
    <row r="297" ht="12.75" customHeight="1">
      <c r="C297" s="71"/>
      <c r="D297" s="102"/>
      <c r="E297" s="3">
        <v>230.0</v>
      </c>
      <c r="F297" s="103"/>
      <c r="G297" s="10"/>
      <c r="H297" s="13"/>
      <c r="I297" s="10" t="s">
        <v>156</v>
      </c>
    </row>
    <row r="298" ht="12.75" customHeight="1">
      <c r="C298" s="71"/>
      <c r="D298" s="102"/>
      <c r="E298" s="3">
        <v>231.0</v>
      </c>
      <c r="F298" s="103"/>
      <c r="G298" s="10"/>
      <c r="H298" s="13"/>
      <c r="I298" s="10" t="s">
        <v>156</v>
      </c>
    </row>
    <row r="299" ht="12.75" customHeight="1">
      <c r="C299" s="71"/>
      <c r="D299" s="102"/>
      <c r="E299" s="3">
        <v>232.0</v>
      </c>
      <c r="F299" s="103"/>
      <c r="G299" s="10"/>
      <c r="H299" s="13"/>
      <c r="I299" s="10" t="s">
        <v>156</v>
      </c>
    </row>
    <row r="300" ht="12.75" customHeight="1">
      <c r="C300" s="71"/>
      <c r="D300" s="102"/>
      <c r="E300" s="3">
        <v>233.0</v>
      </c>
      <c r="F300" s="103"/>
      <c r="G300" s="10"/>
      <c r="H300" s="13"/>
      <c r="I300" s="10" t="s">
        <v>156</v>
      </c>
    </row>
    <row r="301" ht="12.75" customHeight="1">
      <c r="C301" s="71"/>
      <c r="D301" s="102"/>
      <c r="E301" s="3">
        <v>234.0</v>
      </c>
      <c r="F301" s="103"/>
      <c r="G301" s="10"/>
      <c r="H301" s="13"/>
      <c r="I301" s="10" t="s">
        <v>156</v>
      </c>
    </row>
    <row r="302" ht="12.75" customHeight="1">
      <c r="C302" s="71"/>
      <c r="D302" s="102"/>
      <c r="E302" s="3">
        <v>235.0</v>
      </c>
      <c r="F302" s="103"/>
      <c r="G302" s="10"/>
      <c r="H302" s="13"/>
      <c r="I302" s="10" t="s">
        <v>156</v>
      </c>
    </row>
    <row r="303" ht="12.75" customHeight="1">
      <c r="C303" s="71"/>
      <c r="D303" s="102"/>
      <c r="E303" s="3">
        <v>236.0</v>
      </c>
      <c r="F303" s="103"/>
      <c r="G303" s="10"/>
      <c r="H303" s="13"/>
      <c r="I303" s="10" t="s">
        <v>156</v>
      </c>
    </row>
    <row r="304" ht="12.75" customHeight="1">
      <c r="C304" s="71"/>
      <c r="D304" s="102"/>
      <c r="E304" s="3">
        <v>237.0</v>
      </c>
      <c r="F304" s="103"/>
      <c r="G304" s="10"/>
      <c r="H304" s="13"/>
      <c r="I304" s="10" t="s">
        <v>156</v>
      </c>
    </row>
    <row r="305" ht="12.75" customHeight="1">
      <c r="C305" s="71"/>
      <c r="D305" s="102"/>
      <c r="E305" s="3">
        <v>238.0</v>
      </c>
      <c r="F305" s="103"/>
      <c r="G305" s="10"/>
      <c r="H305" s="13"/>
      <c r="I305" s="10" t="s">
        <v>156</v>
      </c>
    </row>
    <row r="306" ht="12.75" customHeight="1">
      <c r="C306" s="71"/>
      <c r="D306" s="102"/>
      <c r="E306" s="3">
        <v>239.0</v>
      </c>
      <c r="F306" s="103"/>
      <c r="G306" s="10"/>
      <c r="H306" s="13"/>
      <c r="I306" s="10" t="s">
        <v>156</v>
      </c>
    </row>
    <row r="307" ht="12.75" customHeight="1">
      <c r="C307" s="71"/>
      <c r="D307" s="102"/>
      <c r="E307" s="3">
        <v>240.0</v>
      </c>
      <c r="F307" s="103"/>
      <c r="G307" s="10"/>
      <c r="H307" s="13"/>
      <c r="I307" s="10" t="s">
        <v>156</v>
      </c>
    </row>
    <row r="308" ht="12.75" customHeight="1">
      <c r="C308" s="71"/>
      <c r="D308" s="102"/>
      <c r="E308" s="3">
        <v>241.0</v>
      </c>
      <c r="F308" s="103"/>
      <c r="G308" s="10"/>
      <c r="H308" s="13"/>
      <c r="I308" s="10" t="s">
        <v>156</v>
      </c>
    </row>
    <row r="309" ht="12.75" customHeight="1">
      <c r="C309" s="71"/>
      <c r="D309" s="102"/>
      <c r="E309" s="3">
        <v>242.0</v>
      </c>
      <c r="F309" s="103"/>
      <c r="G309" s="10"/>
      <c r="H309" s="13"/>
      <c r="I309" s="10" t="s">
        <v>156</v>
      </c>
    </row>
    <row r="310" ht="12.75" customHeight="1">
      <c r="C310" s="71"/>
      <c r="D310" s="102"/>
      <c r="E310" s="3">
        <v>243.0</v>
      </c>
      <c r="F310" s="103"/>
      <c r="G310" s="10"/>
      <c r="H310" s="13"/>
      <c r="I310" s="10" t="s">
        <v>156</v>
      </c>
    </row>
    <row r="311" ht="12.75" customHeight="1">
      <c r="C311" s="71"/>
      <c r="D311" s="102"/>
      <c r="E311" s="3">
        <v>244.0</v>
      </c>
      <c r="F311" s="103"/>
      <c r="G311" s="10"/>
      <c r="H311" s="13"/>
      <c r="I311" s="10" t="s">
        <v>156</v>
      </c>
    </row>
    <row r="312" ht="12.75" customHeight="1">
      <c r="C312" s="71"/>
      <c r="D312" s="102"/>
      <c r="E312" s="3">
        <v>245.0</v>
      </c>
      <c r="F312" s="103"/>
      <c r="G312" s="10"/>
      <c r="H312" s="13"/>
      <c r="I312" s="10" t="s">
        <v>156</v>
      </c>
    </row>
    <row r="313" ht="12.75" customHeight="1">
      <c r="C313" s="71"/>
      <c r="D313" s="102"/>
      <c r="E313" s="3">
        <v>246.0</v>
      </c>
      <c r="F313" s="103"/>
      <c r="G313" s="10"/>
      <c r="H313" s="13"/>
      <c r="I313" s="10" t="s">
        <v>156</v>
      </c>
    </row>
    <row r="314" ht="12.75" customHeight="1">
      <c r="C314" s="71"/>
      <c r="D314" s="102"/>
      <c r="E314" s="3">
        <v>247.0</v>
      </c>
      <c r="F314" s="103"/>
      <c r="G314" s="10"/>
      <c r="H314" s="13"/>
      <c r="I314" s="10" t="s">
        <v>156</v>
      </c>
    </row>
    <row r="315" ht="12.75" customHeight="1">
      <c r="C315" s="71"/>
      <c r="D315" s="102"/>
      <c r="E315" s="3">
        <v>248.0</v>
      </c>
      <c r="F315" s="103"/>
      <c r="G315" s="10"/>
      <c r="H315" s="13"/>
      <c r="I315" s="10" t="s">
        <v>156</v>
      </c>
    </row>
    <row r="316" ht="12.75" customHeight="1">
      <c r="C316" s="71"/>
      <c r="D316" s="102"/>
      <c r="E316" s="3">
        <v>249.0</v>
      </c>
      <c r="F316" s="103"/>
      <c r="G316" s="10"/>
      <c r="H316" s="13"/>
      <c r="I316" s="10" t="s">
        <v>156</v>
      </c>
    </row>
    <row r="317" ht="12.75" customHeight="1">
      <c r="C317" s="71"/>
      <c r="D317" s="102"/>
      <c r="E317" s="3">
        <v>250.0</v>
      </c>
      <c r="F317" s="103"/>
      <c r="G317" s="10"/>
      <c r="H317" s="13"/>
      <c r="I317" s="10" t="s">
        <v>156</v>
      </c>
    </row>
    <row r="318" ht="12.75" customHeight="1">
      <c r="C318" s="71"/>
      <c r="D318" s="102"/>
      <c r="E318" s="3">
        <v>251.0</v>
      </c>
      <c r="F318" s="103"/>
      <c r="G318" s="10"/>
      <c r="H318" s="13"/>
      <c r="I318" s="10" t="s">
        <v>156</v>
      </c>
    </row>
    <row r="319" ht="12.75" customHeight="1">
      <c r="C319" s="71"/>
      <c r="D319" s="102"/>
      <c r="E319" s="3">
        <v>252.0</v>
      </c>
      <c r="F319" s="103"/>
      <c r="G319" s="10"/>
      <c r="H319" s="13"/>
      <c r="I319" s="10" t="s">
        <v>156</v>
      </c>
    </row>
    <row r="320" ht="12.75" customHeight="1">
      <c r="C320" s="71"/>
      <c r="D320" s="102"/>
      <c r="E320" s="3">
        <v>253.0</v>
      </c>
      <c r="F320" s="103"/>
      <c r="G320" s="10"/>
      <c r="H320" s="13"/>
      <c r="I320" s="10" t="s">
        <v>156</v>
      </c>
    </row>
    <row r="321" ht="12.75" customHeight="1">
      <c r="C321" s="71"/>
      <c r="D321" s="102"/>
      <c r="E321" s="3">
        <v>254.0</v>
      </c>
      <c r="F321" s="103"/>
      <c r="G321" s="10"/>
      <c r="H321" s="13"/>
      <c r="I321" s="10" t="s">
        <v>156</v>
      </c>
    </row>
    <row r="322" ht="12.75" customHeight="1">
      <c r="C322" s="71"/>
      <c r="D322" s="102"/>
      <c r="E322" s="3">
        <v>255.0</v>
      </c>
      <c r="F322" s="103"/>
      <c r="G322" s="10"/>
      <c r="H322" s="13"/>
      <c r="I322" s="10" t="s">
        <v>156</v>
      </c>
    </row>
    <row r="323" ht="12.75" customHeight="1">
      <c r="C323" s="71"/>
      <c r="D323" s="102"/>
      <c r="E323" s="3">
        <v>256.0</v>
      </c>
      <c r="F323" s="103"/>
      <c r="G323" s="10"/>
      <c r="H323" s="13"/>
      <c r="I323" s="10" t="s">
        <v>156</v>
      </c>
    </row>
    <row r="324" ht="12.75" customHeight="1">
      <c r="C324" s="71"/>
      <c r="D324" s="102"/>
      <c r="E324" s="3">
        <v>257.0</v>
      </c>
      <c r="F324" s="103"/>
      <c r="G324" s="10"/>
      <c r="H324" s="13"/>
      <c r="I324" s="10" t="s">
        <v>156</v>
      </c>
    </row>
    <row r="325" ht="12.75" customHeight="1">
      <c r="C325" s="71"/>
      <c r="D325" s="102"/>
      <c r="E325" s="3">
        <v>258.0</v>
      </c>
      <c r="F325" s="103"/>
      <c r="G325" s="10"/>
      <c r="H325" s="13"/>
      <c r="I325" s="10" t="s">
        <v>156</v>
      </c>
    </row>
    <row r="326" ht="12.75" customHeight="1">
      <c r="C326" s="71"/>
      <c r="D326" s="102"/>
      <c r="E326" s="3">
        <v>259.0</v>
      </c>
      <c r="F326" s="103"/>
      <c r="G326" s="10"/>
      <c r="H326" s="13"/>
      <c r="I326" s="10" t="s">
        <v>156</v>
      </c>
    </row>
    <row r="327" ht="12.75" customHeight="1">
      <c r="C327" s="71"/>
      <c r="D327" s="102"/>
      <c r="E327" s="3">
        <v>260.0</v>
      </c>
      <c r="F327" s="103"/>
      <c r="G327" s="10"/>
      <c r="H327" s="13"/>
      <c r="I327" s="10" t="s">
        <v>156</v>
      </c>
    </row>
    <row r="328" ht="12.75" customHeight="1">
      <c r="C328" s="71"/>
      <c r="D328" s="102"/>
      <c r="E328" s="3">
        <v>261.0</v>
      </c>
      <c r="F328" s="103"/>
      <c r="G328" s="10"/>
      <c r="H328" s="13"/>
      <c r="I328" s="10" t="s">
        <v>156</v>
      </c>
    </row>
    <row r="329" ht="12.75" customHeight="1">
      <c r="C329" s="71"/>
      <c r="D329" s="102"/>
      <c r="E329" s="3">
        <v>262.0</v>
      </c>
      <c r="F329" s="103"/>
      <c r="G329" s="10"/>
      <c r="H329" s="13"/>
      <c r="I329" s="10" t="s">
        <v>156</v>
      </c>
    </row>
    <row r="330" ht="12.75" customHeight="1">
      <c r="C330" s="71"/>
      <c r="D330" s="102"/>
      <c r="E330" s="3">
        <v>263.0</v>
      </c>
      <c r="F330" s="103"/>
      <c r="G330" s="10"/>
      <c r="H330" s="13"/>
      <c r="I330" s="10" t="s">
        <v>156</v>
      </c>
    </row>
    <row r="331" ht="12.75" customHeight="1">
      <c r="C331" s="71"/>
      <c r="D331" s="102"/>
      <c r="E331" s="3">
        <v>264.0</v>
      </c>
      <c r="F331" s="103"/>
      <c r="G331" s="10"/>
      <c r="H331" s="13"/>
      <c r="I331" s="10" t="s">
        <v>156</v>
      </c>
    </row>
    <row r="332" ht="12.75" customHeight="1">
      <c r="C332" s="71"/>
      <c r="D332" s="102"/>
      <c r="E332" s="3">
        <v>265.0</v>
      </c>
      <c r="F332" s="103"/>
      <c r="G332" s="10"/>
      <c r="H332" s="13"/>
      <c r="I332" s="10" t="s">
        <v>156</v>
      </c>
    </row>
    <row r="333" ht="12.75" customHeight="1">
      <c r="C333" s="71"/>
      <c r="D333" s="102"/>
      <c r="E333" s="3">
        <v>266.0</v>
      </c>
      <c r="F333" s="103"/>
      <c r="G333" s="10"/>
      <c r="H333" s="13"/>
      <c r="I333" s="10" t="s">
        <v>156</v>
      </c>
    </row>
    <row r="334" ht="12.75" customHeight="1">
      <c r="C334" s="71"/>
      <c r="D334" s="102"/>
      <c r="E334" s="3">
        <v>267.0</v>
      </c>
      <c r="F334" s="103"/>
      <c r="G334" s="10"/>
      <c r="H334" s="13"/>
      <c r="I334" s="10" t="s">
        <v>156</v>
      </c>
    </row>
    <row r="335" ht="12.75" customHeight="1">
      <c r="C335" s="71"/>
      <c r="D335" s="102"/>
      <c r="E335" s="3">
        <v>268.0</v>
      </c>
      <c r="F335" s="103"/>
      <c r="G335" s="10"/>
      <c r="H335" s="13"/>
      <c r="I335" s="10" t="s">
        <v>156</v>
      </c>
    </row>
    <row r="336" ht="12.75" customHeight="1">
      <c r="C336" s="71"/>
      <c r="D336" s="102"/>
      <c r="E336" s="3">
        <v>269.0</v>
      </c>
      <c r="F336" s="103"/>
      <c r="G336" s="10"/>
      <c r="H336" s="13"/>
      <c r="I336" s="10" t="s">
        <v>156</v>
      </c>
    </row>
    <row r="337" ht="12.75" customHeight="1">
      <c r="C337" s="71"/>
      <c r="D337" s="102"/>
      <c r="E337" s="3">
        <v>270.0</v>
      </c>
      <c r="F337" s="103"/>
      <c r="G337" s="10"/>
      <c r="H337" s="13"/>
      <c r="I337" s="10" t="s">
        <v>156</v>
      </c>
    </row>
    <row r="338" ht="12.75" customHeight="1">
      <c r="C338" s="71"/>
      <c r="D338" s="102"/>
      <c r="E338" s="3">
        <v>271.0</v>
      </c>
      <c r="F338" s="103"/>
      <c r="G338" s="10"/>
      <c r="H338" s="13"/>
      <c r="I338" s="10" t="s">
        <v>156</v>
      </c>
    </row>
    <row r="339" ht="12.75" customHeight="1">
      <c r="C339" s="71"/>
      <c r="D339" s="102"/>
      <c r="E339" s="3">
        <v>272.0</v>
      </c>
      <c r="F339" s="103"/>
      <c r="G339" s="10"/>
      <c r="H339" s="13"/>
      <c r="I339" s="10" t="s">
        <v>156</v>
      </c>
    </row>
    <row r="340" ht="12.75" customHeight="1">
      <c r="C340" s="71"/>
      <c r="D340" s="102"/>
      <c r="E340" s="3">
        <v>273.0</v>
      </c>
      <c r="F340" s="103"/>
      <c r="G340" s="10"/>
      <c r="H340" s="13"/>
      <c r="I340" s="10" t="s">
        <v>156</v>
      </c>
    </row>
    <row r="341" ht="12.75" customHeight="1">
      <c r="C341" s="71"/>
      <c r="D341" s="102"/>
      <c r="E341" s="3">
        <v>274.0</v>
      </c>
      <c r="F341" s="103"/>
      <c r="G341" s="10"/>
      <c r="H341" s="13"/>
      <c r="I341" s="10" t="s">
        <v>156</v>
      </c>
    </row>
    <row r="342" ht="12.75" customHeight="1">
      <c r="C342" s="71"/>
      <c r="D342" s="102"/>
      <c r="E342" s="3">
        <v>275.0</v>
      </c>
      <c r="F342" s="103"/>
      <c r="G342" s="10"/>
      <c r="H342" s="13"/>
      <c r="I342" s="10" t="s">
        <v>156</v>
      </c>
    </row>
    <row r="343" ht="12.75" customHeight="1">
      <c r="C343" s="71"/>
      <c r="D343" s="102"/>
      <c r="E343" s="3">
        <v>276.0</v>
      </c>
      <c r="F343" s="103"/>
      <c r="G343" s="10"/>
      <c r="H343" s="13"/>
      <c r="I343" s="10" t="s">
        <v>156</v>
      </c>
    </row>
    <row r="344" ht="12.75" customHeight="1">
      <c r="C344" s="71"/>
      <c r="D344" s="102"/>
      <c r="E344" s="3">
        <v>277.0</v>
      </c>
      <c r="F344" s="103"/>
      <c r="G344" s="10"/>
      <c r="H344" s="13"/>
      <c r="I344" s="10" t="s">
        <v>156</v>
      </c>
    </row>
    <row r="345" ht="12.75" customHeight="1">
      <c r="C345" s="71"/>
      <c r="D345" s="102"/>
      <c r="E345" s="3">
        <v>278.0</v>
      </c>
      <c r="F345" s="103"/>
      <c r="G345" s="10"/>
      <c r="H345" s="13"/>
      <c r="I345" s="10" t="s">
        <v>156</v>
      </c>
    </row>
    <row r="346" ht="12.75" customHeight="1">
      <c r="C346" s="71"/>
      <c r="D346" s="102"/>
      <c r="E346" s="3">
        <v>279.0</v>
      </c>
      <c r="F346" s="103"/>
      <c r="G346" s="10"/>
      <c r="H346" s="13"/>
      <c r="I346" s="10" t="s">
        <v>156</v>
      </c>
    </row>
    <row r="347" ht="12.75" customHeight="1">
      <c r="C347" s="71"/>
      <c r="D347" s="102"/>
      <c r="E347" s="3">
        <v>280.0</v>
      </c>
      <c r="F347" s="103"/>
      <c r="G347" s="10"/>
      <c r="H347" s="13"/>
      <c r="I347" s="10" t="s">
        <v>156</v>
      </c>
    </row>
    <row r="348" ht="12.75" customHeight="1">
      <c r="C348" s="71"/>
      <c r="D348" s="102"/>
      <c r="E348" s="3">
        <v>281.0</v>
      </c>
      <c r="F348" s="103"/>
      <c r="G348" s="10"/>
      <c r="H348" s="13"/>
      <c r="I348" s="10" t="s">
        <v>156</v>
      </c>
    </row>
    <row r="349" ht="12.75" customHeight="1">
      <c r="C349" s="71"/>
      <c r="D349" s="102"/>
      <c r="E349" s="3">
        <v>282.0</v>
      </c>
      <c r="F349" s="103"/>
      <c r="G349" s="10"/>
      <c r="H349" s="13"/>
      <c r="I349" s="10" t="s">
        <v>156</v>
      </c>
    </row>
    <row r="350" ht="12.75" customHeight="1">
      <c r="C350" s="71"/>
      <c r="D350" s="102"/>
      <c r="E350" s="3">
        <v>283.0</v>
      </c>
      <c r="F350" s="103"/>
      <c r="G350" s="10"/>
      <c r="H350" s="13"/>
      <c r="I350" s="10" t="s">
        <v>156</v>
      </c>
    </row>
    <row r="351" ht="12.75" customHeight="1">
      <c r="C351" s="71"/>
      <c r="D351" s="102"/>
      <c r="E351" s="3">
        <v>284.0</v>
      </c>
      <c r="F351" s="103"/>
      <c r="G351" s="10"/>
      <c r="H351" s="13"/>
      <c r="I351" s="10" t="s">
        <v>156</v>
      </c>
    </row>
    <row r="352" ht="12.75" customHeight="1">
      <c r="C352" s="71"/>
      <c r="D352" s="102"/>
      <c r="E352" s="3">
        <v>285.0</v>
      </c>
      <c r="F352" s="103"/>
      <c r="G352" s="10"/>
      <c r="H352" s="13"/>
      <c r="I352" s="10" t="s">
        <v>156</v>
      </c>
    </row>
    <row r="353" ht="12.75" customHeight="1">
      <c r="C353" s="71"/>
      <c r="D353" s="102"/>
      <c r="E353" s="3">
        <v>286.0</v>
      </c>
      <c r="F353" s="103"/>
      <c r="G353" s="10"/>
      <c r="H353" s="13"/>
      <c r="I353" s="10" t="s">
        <v>156</v>
      </c>
    </row>
    <row r="354" ht="12.75" customHeight="1">
      <c r="C354" s="71"/>
      <c r="D354" s="102"/>
      <c r="E354" s="3">
        <v>287.0</v>
      </c>
      <c r="F354" s="103"/>
      <c r="G354" s="10"/>
      <c r="H354" s="13"/>
      <c r="I354" s="10" t="s">
        <v>156</v>
      </c>
    </row>
    <row r="355" ht="12.75" customHeight="1">
      <c r="C355" s="71"/>
      <c r="D355" s="102"/>
      <c r="E355" s="3">
        <v>288.0</v>
      </c>
      <c r="F355" s="103"/>
      <c r="G355" s="10"/>
      <c r="H355" s="13"/>
      <c r="I355" s="10" t="s">
        <v>156</v>
      </c>
    </row>
    <row r="356" ht="12.75" customHeight="1">
      <c r="C356" s="71"/>
      <c r="D356" s="102"/>
      <c r="E356" s="3">
        <v>289.0</v>
      </c>
      <c r="F356" s="103"/>
      <c r="G356" s="10"/>
      <c r="H356" s="13"/>
      <c r="I356" s="10" t="s">
        <v>156</v>
      </c>
    </row>
    <row r="357" ht="12.75" customHeight="1">
      <c r="C357" s="71"/>
      <c r="D357" s="102"/>
      <c r="E357" s="3">
        <v>290.0</v>
      </c>
      <c r="F357" s="103"/>
      <c r="G357" s="10"/>
      <c r="H357" s="13"/>
      <c r="I357" s="10" t="s">
        <v>156</v>
      </c>
    </row>
    <row r="358" ht="12.75" customHeight="1">
      <c r="C358" s="71"/>
      <c r="D358" s="102"/>
      <c r="E358" s="3">
        <v>291.0</v>
      </c>
      <c r="F358" s="103"/>
      <c r="G358" s="10"/>
      <c r="H358" s="13"/>
      <c r="I358" s="10" t="s">
        <v>156</v>
      </c>
    </row>
    <row r="359" ht="12.75" customHeight="1">
      <c r="C359" s="71"/>
      <c r="D359" s="102"/>
      <c r="E359" s="3">
        <v>292.0</v>
      </c>
      <c r="F359" s="103"/>
      <c r="G359" s="10"/>
      <c r="H359" s="13"/>
      <c r="I359" s="10" t="s">
        <v>156</v>
      </c>
    </row>
    <row r="360" ht="12.75" customHeight="1">
      <c r="C360" s="71"/>
      <c r="D360" s="102"/>
      <c r="E360" s="3">
        <v>293.0</v>
      </c>
      <c r="F360" s="103"/>
      <c r="G360" s="10"/>
      <c r="H360" s="13"/>
      <c r="I360" s="10" t="s">
        <v>156</v>
      </c>
    </row>
    <row r="361" ht="12.75" customHeight="1">
      <c r="C361" s="71"/>
      <c r="D361" s="102"/>
      <c r="E361" s="3">
        <v>294.0</v>
      </c>
      <c r="F361" s="103"/>
      <c r="G361" s="10"/>
      <c r="H361" s="13"/>
      <c r="I361" s="10" t="s">
        <v>156</v>
      </c>
    </row>
    <row r="362" ht="12.75" customHeight="1">
      <c r="C362" s="71"/>
      <c r="D362" s="102"/>
      <c r="E362" s="3">
        <v>295.0</v>
      </c>
      <c r="F362" s="103"/>
      <c r="G362" s="10"/>
      <c r="H362" s="13"/>
      <c r="I362" s="10" t="s">
        <v>156</v>
      </c>
    </row>
    <row r="363" ht="12.75" customHeight="1">
      <c r="C363" s="71"/>
      <c r="D363" s="102"/>
      <c r="E363" s="3">
        <v>296.0</v>
      </c>
      <c r="F363" s="103"/>
      <c r="G363" s="10"/>
      <c r="H363" s="13"/>
      <c r="I363" s="10" t="s">
        <v>156</v>
      </c>
    </row>
    <row r="364" ht="12.75" customHeight="1">
      <c r="C364" s="71"/>
      <c r="D364" s="102"/>
      <c r="E364" s="3">
        <v>297.0</v>
      </c>
      <c r="F364" s="103"/>
      <c r="G364" s="10"/>
      <c r="H364" s="13"/>
      <c r="I364" s="10" t="s">
        <v>156</v>
      </c>
    </row>
    <row r="365" ht="12.75" customHeight="1">
      <c r="C365" s="71"/>
      <c r="D365" s="102"/>
      <c r="E365" s="3">
        <v>298.0</v>
      </c>
      <c r="F365" s="103"/>
      <c r="G365" s="10"/>
      <c r="H365" s="13"/>
      <c r="I365" s="10" t="s">
        <v>156</v>
      </c>
    </row>
    <row r="366" ht="12.75" customHeight="1">
      <c r="C366" s="71"/>
      <c r="D366" s="102"/>
      <c r="E366" s="3">
        <v>299.0</v>
      </c>
      <c r="F366" s="103"/>
      <c r="G366" s="10"/>
      <c r="H366" s="13"/>
      <c r="I366" s="10" t="s">
        <v>156</v>
      </c>
    </row>
    <row r="367" ht="12.75" customHeight="1">
      <c r="C367" s="71"/>
      <c r="D367" s="102"/>
      <c r="E367" s="3">
        <v>300.0</v>
      </c>
      <c r="F367" s="103"/>
      <c r="G367" s="10"/>
      <c r="H367" s="13"/>
      <c r="I367" s="10" t="s">
        <v>156</v>
      </c>
    </row>
    <row r="368" ht="12.75" customHeight="1">
      <c r="C368" s="71"/>
      <c r="D368" s="102"/>
      <c r="E368" s="3">
        <v>301.0</v>
      </c>
      <c r="F368" s="103"/>
      <c r="G368" s="10"/>
      <c r="H368" s="13"/>
      <c r="I368" s="10" t="s">
        <v>156</v>
      </c>
    </row>
    <row r="369" ht="12.75" customHeight="1">
      <c r="C369" s="71"/>
      <c r="D369" s="102"/>
      <c r="E369" s="3">
        <v>302.0</v>
      </c>
      <c r="F369" s="103"/>
      <c r="G369" s="10"/>
      <c r="H369" s="13"/>
      <c r="I369" s="10" t="s">
        <v>156</v>
      </c>
    </row>
    <row r="370" ht="12.75" customHeight="1">
      <c r="C370" s="71"/>
      <c r="D370" s="102"/>
      <c r="E370" s="3">
        <v>303.0</v>
      </c>
      <c r="F370" s="103"/>
      <c r="G370" s="10"/>
      <c r="H370" s="13"/>
      <c r="I370" s="10" t="s">
        <v>156</v>
      </c>
    </row>
    <row r="371" ht="12.75" customHeight="1">
      <c r="C371" s="71"/>
      <c r="D371" s="102"/>
      <c r="E371" s="3">
        <v>304.0</v>
      </c>
      <c r="F371" s="103"/>
      <c r="G371" s="10"/>
      <c r="H371" s="13"/>
      <c r="I371" s="10" t="s">
        <v>156</v>
      </c>
    </row>
    <row r="372" ht="12.75" customHeight="1">
      <c r="C372" s="71"/>
      <c r="D372" s="102"/>
      <c r="E372" s="3">
        <v>305.0</v>
      </c>
      <c r="F372" s="103"/>
      <c r="G372" s="10"/>
      <c r="H372" s="13"/>
      <c r="I372" s="10" t="s">
        <v>156</v>
      </c>
    </row>
    <row r="373" ht="12.75" customHeight="1">
      <c r="C373" s="71"/>
      <c r="D373" s="102"/>
      <c r="E373" s="3">
        <v>306.0</v>
      </c>
      <c r="F373" s="103"/>
      <c r="G373" s="10"/>
      <c r="H373" s="13"/>
      <c r="I373" s="10" t="s">
        <v>156</v>
      </c>
    </row>
    <row r="374" ht="12.75" customHeight="1">
      <c r="C374" s="71"/>
      <c r="D374" s="102"/>
      <c r="E374" s="3">
        <v>307.0</v>
      </c>
      <c r="F374" s="103"/>
      <c r="G374" s="10"/>
      <c r="H374" s="13"/>
      <c r="I374" s="10" t="s">
        <v>156</v>
      </c>
    </row>
    <row r="375" ht="12.75" customHeight="1">
      <c r="C375" s="71"/>
      <c r="D375" s="102"/>
      <c r="E375" s="3">
        <v>308.0</v>
      </c>
      <c r="F375" s="103"/>
      <c r="G375" s="10"/>
      <c r="H375" s="13"/>
      <c r="I375" s="10" t="s">
        <v>156</v>
      </c>
    </row>
    <row r="376" ht="12.75" customHeight="1">
      <c r="C376" s="71"/>
      <c r="D376" s="102"/>
      <c r="E376" s="3">
        <v>309.0</v>
      </c>
      <c r="F376" s="103"/>
      <c r="G376" s="10"/>
      <c r="H376" s="13"/>
      <c r="I376" s="10" t="s">
        <v>156</v>
      </c>
    </row>
    <row r="377" ht="12.75" customHeight="1">
      <c r="C377" s="71"/>
      <c r="D377" s="102"/>
      <c r="E377" s="3">
        <v>310.0</v>
      </c>
      <c r="F377" s="103"/>
      <c r="G377" s="10"/>
      <c r="H377" s="13"/>
      <c r="I377" s="10" t="s">
        <v>156</v>
      </c>
    </row>
    <row r="378" ht="12.75" customHeight="1">
      <c r="C378" s="71"/>
      <c r="D378" s="102"/>
      <c r="E378" s="3">
        <v>311.0</v>
      </c>
      <c r="F378" s="103"/>
      <c r="G378" s="10"/>
      <c r="H378" s="13"/>
      <c r="I378" s="10" t="s">
        <v>156</v>
      </c>
    </row>
    <row r="379" ht="12.75" customHeight="1">
      <c r="C379" s="71"/>
      <c r="D379" s="102"/>
      <c r="E379" s="3">
        <v>312.0</v>
      </c>
      <c r="F379" s="103"/>
      <c r="G379" s="10"/>
      <c r="H379" s="13"/>
      <c r="I379" s="10" t="s">
        <v>156</v>
      </c>
    </row>
    <row r="380" ht="12.75" customHeight="1">
      <c r="C380" s="71"/>
      <c r="D380" s="102"/>
      <c r="E380" s="3">
        <v>313.0</v>
      </c>
      <c r="F380" s="103"/>
      <c r="G380" s="10"/>
      <c r="H380" s="13"/>
      <c r="I380" s="10" t="s">
        <v>156</v>
      </c>
    </row>
    <row r="381" ht="12.75" customHeight="1">
      <c r="C381" s="71"/>
      <c r="D381" s="102"/>
      <c r="E381" s="3">
        <v>314.0</v>
      </c>
      <c r="F381" s="103"/>
      <c r="G381" s="10"/>
      <c r="H381" s="13"/>
      <c r="I381" s="10" t="s">
        <v>156</v>
      </c>
    </row>
    <row r="382" ht="12.75" customHeight="1">
      <c r="C382" s="71"/>
      <c r="D382" s="102"/>
      <c r="E382" s="3">
        <v>315.0</v>
      </c>
      <c r="F382" s="103"/>
      <c r="G382" s="10"/>
      <c r="H382" s="13"/>
      <c r="I382" s="10" t="s">
        <v>156</v>
      </c>
    </row>
    <row r="383" ht="12.75" customHeight="1">
      <c r="C383" s="71"/>
      <c r="D383" s="102"/>
      <c r="E383" s="3">
        <v>316.0</v>
      </c>
      <c r="F383" s="103"/>
      <c r="G383" s="10"/>
      <c r="H383" s="13"/>
      <c r="I383" s="10" t="s">
        <v>156</v>
      </c>
    </row>
    <row r="384" ht="12.75" customHeight="1">
      <c r="C384" s="71"/>
      <c r="D384" s="102"/>
      <c r="E384" s="3">
        <v>317.0</v>
      </c>
      <c r="F384" s="103"/>
      <c r="G384" s="10"/>
      <c r="H384" s="13"/>
      <c r="I384" s="10" t="s">
        <v>156</v>
      </c>
    </row>
    <row r="385" ht="12.75" customHeight="1">
      <c r="C385" s="71"/>
      <c r="D385" s="102"/>
      <c r="E385" s="3">
        <v>318.0</v>
      </c>
      <c r="F385" s="103"/>
      <c r="G385" s="10"/>
      <c r="H385" s="13"/>
      <c r="I385" s="10" t="s">
        <v>156</v>
      </c>
    </row>
    <row r="386" ht="12.75" customHeight="1">
      <c r="C386" s="71"/>
      <c r="D386" s="102"/>
      <c r="E386" s="3">
        <v>319.0</v>
      </c>
      <c r="F386" s="103"/>
      <c r="G386" s="10"/>
      <c r="H386" s="13"/>
      <c r="I386" s="10" t="s">
        <v>156</v>
      </c>
    </row>
    <row r="387" ht="12.75" customHeight="1">
      <c r="C387" s="71"/>
      <c r="D387" s="102"/>
      <c r="E387" s="3">
        <v>320.0</v>
      </c>
      <c r="F387" s="103"/>
      <c r="G387" s="10"/>
      <c r="H387" s="13"/>
      <c r="I387" s="10" t="s">
        <v>156</v>
      </c>
    </row>
    <row r="388" ht="12.75" customHeight="1">
      <c r="C388" s="71"/>
      <c r="D388" s="102"/>
      <c r="E388" s="3">
        <v>321.0</v>
      </c>
      <c r="F388" s="103"/>
      <c r="G388" s="10"/>
      <c r="H388" s="13"/>
      <c r="I388" s="10" t="s">
        <v>156</v>
      </c>
    </row>
    <row r="389" ht="12.75" customHeight="1">
      <c r="C389" s="71"/>
      <c r="D389" s="102"/>
      <c r="E389" s="3">
        <v>322.0</v>
      </c>
      <c r="F389" s="103"/>
      <c r="G389" s="10"/>
      <c r="H389" s="13"/>
      <c r="I389" s="10" t="s">
        <v>156</v>
      </c>
    </row>
    <row r="390" ht="12.75" customHeight="1">
      <c r="C390" s="71"/>
      <c r="D390" s="102"/>
      <c r="E390" s="3">
        <v>323.0</v>
      </c>
      <c r="F390" s="103"/>
      <c r="G390" s="10"/>
      <c r="H390" s="13"/>
      <c r="I390" s="10" t="s">
        <v>156</v>
      </c>
    </row>
    <row r="391" ht="12.75" customHeight="1">
      <c r="C391" s="71"/>
      <c r="D391" s="102"/>
      <c r="E391" s="3">
        <v>324.0</v>
      </c>
      <c r="F391" s="103"/>
      <c r="G391" s="10"/>
      <c r="H391" s="13"/>
      <c r="I391" s="10" t="s">
        <v>156</v>
      </c>
    </row>
    <row r="392" ht="12.75" customHeight="1">
      <c r="C392" s="71"/>
      <c r="D392" s="102"/>
      <c r="E392" s="3">
        <v>325.0</v>
      </c>
      <c r="F392" s="103"/>
      <c r="G392" s="10"/>
      <c r="H392" s="13"/>
      <c r="I392" s="10" t="s">
        <v>156</v>
      </c>
    </row>
    <row r="393" ht="12.75" customHeight="1">
      <c r="C393" s="71"/>
      <c r="D393" s="102"/>
      <c r="E393" s="3">
        <v>326.0</v>
      </c>
      <c r="F393" s="103"/>
      <c r="G393" s="10"/>
      <c r="H393" s="13"/>
      <c r="I393" s="10" t="s">
        <v>156</v>
      </c>
    </row>
    <row r="394" ht="12.75" customHeight="1">
      <c r="C394" s="71"/>
      <c r="D394" s="102"/>
      <c r="E394" s="3">
        <v>327.0</v>
      </c>
      <c r="F394" s="103"/>
      <c r="G394" s="10"/>
      <c r="H394" s="13"/>
      <c r="I394" s="10" t="s">
        <v>156</v>
      </c>
    </row>
    <row r="395" ht="12.75" customHeight="1">
      <c r="C395" s="71"/>
      <c r="D395" s="102"/>
      <c r="E395" s="3">
        <v>328.0</v>
      </c>
      <c r="F395" s="103"/>
      <c r="G395" s="10"/>
      <c r="H395" s="13"/>
      <c r="I395" s="10" t="s">
        <v>156</v>
      </c>
    </row>
    <row r="396" ht="12.75" customHeight="1">
      <c r="C396" s="71"/>
      <c r="D396" s="102"/>
      <c r="E396" s="3">
        <v>329.0</v>
      </c>
      <c r="F396" s="103"/>
      <c r="G396" s="10"/>
      <c r="H396" s="13"/>
      <c r="I396" s="10" t="s">
        <v>156</v>
      </c>
    </row>
    <row r="397" ht="12.75" customHeight="1">
      <c r="C397" s="71"/>
      <c r="D397" s="102"/>
      <c r="E397" s="3">
        <v>330.0</v>
      </c>
      <c r="F397" s="103"/>
      <c r="G397" s="10"/>
      <c r="H397" s="13"/>
      <c r="I397" s="10" t="s">
        <v>156</v>
      </c>
    </row>
    <row r="398" ht="12.75" customHeight="1">
      <c r="C398" s="71"/>
      <c r="D398" s="102"/>
      <c r="E398" s="3">
        <v>331.0</v>
      </c>
      <c r="F398" s="103"/>
      <c r="G398" s="10"/>
      <c r="H398" s="13"/>
      <c r="I398" s="10" t="s">
        <v>156</v>
      </c>
    </row>
    <row r="399" ht="12.75" customHeight="1">
      <c r="C399" s="71"/>
      <c r="D399" s="102"/>
      <c r="E399" s="3">
        <v>332.0</v>
      </c>
      <c r="F399" s="103"/>
      <c r="G399" s="10"/>
      <c r="H399" s="13"/>
      <c r="I399" s="10" t="s">
        <v>156</v>
      </c>
    </row>
    <row r="400" ht="12.75" customHeight="1">
      <c r="C400" s="71"/>
      <c r="D400" s="102"/>
      <c r="E400" s="3">
        <v>333.0</v>
      </c>
      <c r="F400" s="103"/>
      <c r="G400" s="10"/>
      <c r="H400" s="13"/>
      <c r="I400" s="10" t="s">
        <v>156</v>
      </c>
    </row>
    <row r="401" ht="12.75" customHeight="1">
      <c r="C401" s="71"/>
      <c r="D401" s="102"/>
      <c r="E401" s="3">
        <v>334.0</v>
      </c>
      <c r="F401" s="103"/>
      <c r="G401" s="10"/>
      <c r="H401" s="13"/>
      <c r="I401" s="10" t="s">
        <v>156</v>
      </c>
    </row>
    <row r="402" ht="12.75" customHeight="1">
      <c r="C402" s="71"/>
      <c r="D402" s="102"/>
      <c r="E402" s="3">
        <v>335.0</v>
      </c>
      <c r="F402" s="103"/>
      <c r="G402" s="10"/>
      <c r="H402" s="13"/>
      <c r="I402" s="10" t="s">
        <v>156</v>
      </c>
    </row>
    <row r="403" ht="12.75" customHeight="1">
      <c r="C403" s="71"/>
      <c r="D403" s="102"/>
      <c r="E403" s="3">
        <v>336.0</v>
      </c>
      <c r="F403" s="103"/>
      <c r="G403" s="10"/>
      <c r="H403" s="13"/>
      <c r="I403" s="10" t="s">
        <v>156</v>
      </c>
    </row>
    <row r="404" ht="12.75" customHeight="1">
      <c r="C404" s="71"/>
      <c r="D404" s="102"/>
      <c r="E404" s="3">
        <v>337.0</v>
      </c>
      <c r="F404" s="103"/>
      <c r="G404" s="10"/>
      <c r="H404" s="13"/>
      <c r="I404" s="10" t="s">
        <v>156</v>
      </c>
    </row>
    <row r="405" ht="12.75" customHeight="1">
      <c r="C405" s="71"/>
      <c r="D405" s="102"/>
      <c r="E405" s="3">
        <v>338.0</v>
      </c>
      <c r="F405" s="103"/>
      <c r="G405" s="10"/>
      <c r="H405" s="13"/>
      <c r="I405" s="10" t="s">
        <v>156</v>
      </c>
    </row>
    <row r="406" ht="12.75" customHeight="1">
      <c r="C406" s="71"/>
      <c r="D406" s="102"/>
      <c r="E406" s="3">
        <v>339.0</v>
      </c>
      <c r="F406" s="103"/>
      <c r="G406" s="10"/>
      <c r="H406" s="13"/>
      <c r="I406" s="10" t="s">
        <v>156</v>
      </c>
    </row>
    <row r="407" ht="12.75" customHeight="1">
      <c r="C407" s="71"/>
      <c r="D407" s="102"/>
      <c r="E407" s="3">
        <v>340.0</v>
      </c>
      <c r="F407" s="103"/>
      <c r="G407" s="10"/>
      <c r="H407" s="13"/>
      <c r="I407" s="10" t="s">
        <v>156</v>
      </c>
    </row>
    <row r="408" ht="12.75" customHeight="1">
      <c r="C408" s="71"/>
      <c r="D408" s="102"/>
      <c r="E408" s="3">
        <v>341.0</v>
      </c>
      <c r="F408" s="103"/>
      <c r="G408" s="10"/>
      <c r="H408" s="13"/>
      <c r="I408" s="10" t="s">
        <v>156</v>
      </c>
    </row>
    <row r="409" ht="12.75" customHeight="1">
      <c r="C409" s="71"/>
      <c r="D409" s="102"/>
      <c r="E409" s="3">
        <v>342.0</v>
      </c>
      <c r="F409" s="103"/>
      <c r="G409" s="10"/>
      <c r="H409" s="13"/>
      <c r="I409" s="10" t="s">
        <v>156</v>
      </c>
    </row>
    <row r="410" ht="12.75" customHeight="1">
      <c r="C410" s="71"/>
      <c r="D410" s="102"/>
      <c r="E410" s="3">
        <v>343.0</v>
      </c>
      <c r="F410" s="103"/>
      <c r="G410" s="10"/>
      <c r="H410" s="13"/>
      <c r="I410" s="10" t="s">
        <v>156</v>
      </c>
    </row>
    <row r="411" ht="12.75" customHeight="1">
      <c r="C411" s="71"/>
      <c r="D411" s="102"/>
      <c r="E411" s="3">
        <v>344.0</v>
      </c>
      <c r="F411" s="103"/>
      <c r="G411" s="10"/>
      <c r="H411" s="13"/>
      <c r="I411" s="10" t="s">
        <v>156</v>
      </c>
    </row>
    <row r="412" ht="12.75" customHeight="1">
      <c r="C412" s="71"/>
      <c r="D412" s="102"/>
      <c r="E412" s="3">
        <v>345.0</v>
      </c>
      <c r="F412" s="103"/>
      <c r="G412" s="10"/>
      <c r="H412" s="13"/>
      <c r="I412" s="10" t="s">
        <v>156</v>
      </c>
    </row>
    <row r="413" ht="12.75" customHeight="1">
      <c r="C413" s="71"/>
      <c r="D413" s="102"/>
      <c r="E413" s="3">
        <v>346.0</v>
      </c>
      <c r="F413" s="103"/>
      <c r="G413" s="10"/>
      <c r="H413" s="13"/>
      <c r="I413" s="10" t="s">
        <v>156</v>
      </c>
    </row>
    <row r="414" ht="12.75" customHeight="1">
      <c r="C414" s="71"/>
      <c r="D414" s="102"/>
      <c r="E414" s="3">
        <v>347.0</v>
      </c>
      <c r="F414" s="103"/>
      <c r="G414" s="10"/>
      <c r="H414" s="13"/>
      <c r="I414" s="10" t="s">
        <v>156</v>
      </c>
    </row>
    <row r="415" ht="12.75" customHeight="1">
      <c r="C415" s="71"/>
      <c r="D415" s="102"/>
      <c r="E415" s="3">
        <v>348.0</v>
      </c>
      <c r="F415" s="103"/>
      <c r="G415" s="10"/>
      <c r="H415" s="13"/>
      <c r="I415" s="10" t="s">
        <v>156</v>
      </c>
    </row>
    <row r="416" ht="12.75" customHeight="1">
      <c r="C416" s="71"/>
      <c r="D416" s="102"/>
      <c r="E416" s="3">
        <v>349.0</v>
      </c>
      <c r="F416" s="103"/>
      <c r="G416" s="10"/>
      <c r="H416" s="13"/>
      <c r="I416" s="10" t="s">
        <v>156</v>
      </c>
    </row>
    <row r="417" ht="12.75" customHeight="1">
      <c r="C417" s="71"/>
      <c r="D417" s="102"/>
      <c r="E417" s="3">
        <v>350.0</v>
      </c>
      <c r="F417" s="103"/>
      <c r="G417" s="10"/>
      <c r="H417" s="13"/>
      <c r="I417" s="10" t="s">
        <v>156</v>
      </c>
    </row>
    <row r="418" ht="12.75" customHeight="1">
      <c r="C418" s="71"/>
      <c r="D418" s="102"/>
      <c r="E418" s="3">
        <v>351.0</v>
      </c>
      <c r="F418" s="103"/>
      <c r="G418" s="10"/>
      <c r="H418" s="13"/>
      <c r="I418" s="10" t="s">
        <v>156</v>
      </c>
    </row>
    <row r="419" ht="12.75" customHeight="1">
      <c r="C419" s="71"/>
      <c r="D419" s="102"/>
      <c r="E419" s="3">
        <v>352.0</v>
      </c>
      <c r="F419" s="103"/>
      <c r="G419" s="10"/>
      <c r="H419" s="13"/>
      <c r="I419" s="10" t="s">
        <v>156</v>
      </c>
    </row>
    <row r="420" ht="12.75" customHeight="1">
      <c r="C420" s="71"/>
      <c r="D420" s="102"/>
      <c r="E420" s="3">
        <v>353.0</v>
      </c>
      <c r="F420" s="103"/>
      <c r="G420" s="10"/>
      <c r="H420" s="13"/>
      <c r="I420" s="10" t="s">
        <v>156</v>
      </c>
    </row>
    <row r="421" ht="12.75" customHeight="1">
      <c r="C421" s="71"/>
      <c r="D421" s="102"/>
      <c r="E421" s="3">
        <v>354.0</v>
      </c>
      <c r="F421" s="103"/>
      <c r="G421" s="10"/>
      <c r="H421" s="13"/>
      <c r="I421" s="10" t="s">
        <v>156</v>
      </c>
    </row>
    <row r="422" ht="12.75" customHeight="1">
      <c r="C422" s="71"/>
      <c r="D422" s="102"/>
      <c r="E422" s="3">
        <v>355.0</v>
      </c>
      <c r="F422" s="103"/>
      <c r="G422" s="10"/>
      <c r="H422" s="13"/>
      <c r="I422" s="10" t="s">
        <v>156</v>
      </c>
    </row>
    <row r="423" ht="12.75" customHeight="1">
      <c r="C423" s="71"/>
      <c r="D423" s="102"/>
      <c r="E423" s="3">
        <v>356.0</v>
      </c>
      <c r="F423" s="103"/>
      <c r="G423" s="10"/>
      <c r="H423" s="13"/>
      <c r="I423" s="10" t="s">
        <v>156</v>
      </c>
    </row>
    <row r="424" ht="12.75" customHeight="1">
      <c r="C424" s="71"/>
      <c r="D424" s="102"/>
      <c r="E424" s="3">
        <v>357.0</v>
      </c>
      <c r="F424" s="103"/>
      <c r="G424" s="10"/>
      <c r="H424" s="13"/>
      <c r="I424" s="10" t="s">
        <v>156</v>
      </c>
    </row>
    <row r="425" ht="12.75" customHeight="1">
      <c r="C425" s="71"/>
      <c r="D425" s="102"/>
      <c r="E425" s="3">
        <v>358.0</v>
      </c>
      <c r="F425" s="103"/>
      <c r="G425" s="10"/>
      <c r="H425" s="13"/>
      <c r="I425" s="10" t="s">
        <v>156</v>
      </c>
    </row>
    <row r="426" ht="12.75" customHeight="1">
      <c r="C426" s="71"/>
      <c r="D426" s="102"/>
      <c r="E426" s="3">
        <v>359.0</v>
      </c>
      <c r="F426" s="103"/>
      <c r="G426" s="10"/>
      <c r="H426" s="13"/>
      <c r="I426" s="10" t="s">
        <v>156</v>
      </c>
    </row>
    <row r="427" ht="12.75" customHeight="1">
      <c r="C427" s="71"/>
      <c r="D427" s="102"/>
      <c r="E427" s="3">
        <v>360.0</v>
      </c>
      <c r="F427" s="103"/>
      <c r="G427" s="10"/>
      <c r="H427" s="13"/>
      <c r="I427" s="10" t="s">
        <v>156</v>
      </c>
    </row>
    <row r="428" ht="12.75" customHeight="1">
      <c r="C428" s="71"/>
      <c r="D428" s="102"/>
      <c r="E428" s="3">
        <v>361.0</v>
      </c>
      <c r="F428" s="103"/>
      <c r="G428" s="10"/>
      <c r="H428" s="13"/>
      <c r="I428" s="10" t="s">
        <v>156</v>
      </c>
    </row>
    <row r="429" ht="12.75" customHeight="1">
      <c r="C429" s="71"/>
      <c r="D429" s="102"/>
      <c r="E429" s="3">
        <v>362.0</v>
      </c>
      <c r="F429" s="103"/>
      <c r="G429" s="10"/>
      <c r="H429" s="13"/>
      <c r="I429" s="10" t="s">
        <v>156</v>
      </c>
    </row>
    <row r="430" ht="12.75" customHeight="1">
      <c r="C430" s="71"/>
      <c r="D430" s="102"/>
      <c r="E430" s="3">
        <v>363.0</v>
      </c>
      <c r="F430" s="103"/>
      <c r="G430" s="10"/>
      <c r="H430" s="13"/>
      <c r="I430" s="10" t="s">
        <v>156</v>
      </c>
    </row>
    <row r="431" ht="12.75" customHeight="1">
      <c r="C431" s="71"/>
      <c r="D431" s="102"/>
      <c r="E431" s="3">
        <v>364.0</v>
      </c>
      <c r="F431" s="103"/>
      <c r="G431" s="10"/>
      <c r="H431" s="13"/>
      <c r="I431" s="10" t="s">
        <v>156</v>
      </c>
    </row>
    <row r="432" ht="12.75" customHeight="1">
      <c r="C432" s="71"/>
      <c r="D432" s="102"/>
      <c r="E432" s="3">
        <v>365.0</v>
      </c>
      <c r="F432" s="103"/>
      <c r="G432" s="10"/>
      <c r="H432" s="13"/>
      <c r="I432" s="10" t="s">
        <v>156</v>
      </c>
    </row>
    <row r="433" ht="12.75" customHeight="1">
      <c r="C433" s="71"/>
      <c r="D433" s="102"/>
      <c r="E433" s="3">
        <v>366.0</v>
      </c>
      <c r="F433" s="103"/>
      <c r="G433" s="10"/>
      <c r="H433" s="13"/>
      <c r="I433" s="10" t="s">
        <v>156</v>
      </c>
    </row>
    <row r="434" ht="12.75" customHeight="1">
      <c r="C434" s="71"/>
      <c r="D434" s="102"/>
      <c r="E434" s="3">
        <v>367.0</v>
      </c>
      <c r="F434" s="103"/>
      <c r="G434" s="10"/>
      <c r="H434" s="13"/>
      <c r="I434" s="10" t="s">
        <v>156</v>
      </c>
    </row>
    <row r="435" ht="12.75" customHeight="1">
      <c r="C435" s="71"/>
      <c r="D435" s="102"/>
      <c r="E435" s="3">
        <v>368.0</v>
      </c>
      <c r="F435" s="103"/>
      <c r="G435" s="10"/>
      <c r="H435" s="13"/>
      <c r="I435" s="10" t="s">
        <v>156</v>
      </c>
    </row>
    <row r="436" ht="12.75" customHeight="1">
      <c r="C436" s="71"/>
      <c r="D436" s="102"/>
      <c r="E436" s="3">
        <v>369.0</v>
      </c>
      <c r="F436" s="103"/>
      <c r="G436" s="10"/>
      <c r="H436" s="13"/>
      <c r="I436" s="10" t="s">
        <v>156</v>
      </c>
    </row>
    <row r="437" ht="12.75" customHeight="1">
      <c r="C437" s="71"/>
      <c r="D437" s="102"/>
      <c r="E437" s="3">
        <v>370.0</v>
      </c>
      <c r="F437" s="103"/>
      <c r="G437" s="10"/>
      <c r="H437" s="13"/>
      <c r="I437" s="10" t="s">
        <v>156</v>
      </c>
    </row>
    <row r="438" ht="12.75" customHeight="1">
      <c r="C438" s="71"/>
      <c r="D438" s="102"/>
      <c r="E438" s="3">
        <v>371.0</v>
      </c>
      <c r="F438" s="103"/>
      <c r="G438" s="10"/>
      <c r="H438" s="13"/>
      <c r="I438" s="10" t="s">
        <v>156</v>
      </c>
    </row>
    <row r="439" ht="12.75" customHeight="1">
      <c r="C439" s="71"/>
      <c r="D439" s="102"/>
      <c r="E439" s="3">
        <v>372.0</v>
      </c>
      <c r="F439" s="103"/>
      <c r="G439" s="10"/>
      <c r="H439" s="13"/>
      <c r="I439" s="10" t="s">
        <v>156</v>
      </c>
    </row>
    <row r="440" ht="12.75" customHeight="1">
      <c r="C440" s="71"/>
      <c r="D440" s="102"/>
      <c r="E440" s="3">
        <v>373.0</v>
      </c>
      <c r="F440" s="103"/>
      <c r="G440" s="10"/>
      <c r="H440" s="13"/>
      <c r="I440" s="10" t="s">
        <v>156</v>
      </c>
    </row>
    <row r="441" ht="12.75" customHeight="1">
      <c r="C441" s="71"/>
      <c r="D441" s="102"/>
      <c r="E441" s="3">
        <v>374.0</v>
      </c>
      <c r="F441" s="103"/>
      <c r="G441" s="10"/>
      <c r="H441" s="13"/>
      <c r="I441" s="10" t="s">
        <v>156</v>
      </c>
    </row>
    <row r="442" ht="12.75" customHeight="1">
      <c r="C442" s="71"/>
      <c r="D442" s="102"/>
      <c r="E442" s="3">
        <v>375.0</v>
      </c>
      <c r="F442" s="103"/>
      <c r="G442" s="10"/>
      <c r="H442" s="13"/>
      <c r="I442" s="10" t="s">
        <v>156</v>
      </c>
    </row>
    <row r="443" ht="12.75" customHeight="1">
      <c r="C443" s="71"/>
      <c r="D443" s="102"/>
      <c r="E443" s="3">
        <v>376.0</v>
      </c>
      <c r="F443" s="103"/>
      <c r="G443" s="10"/>
      <c r="H443" s="13"/>
      <c r="I443" s="10" t="s">
        <v>156</v>
      </c>
    </row>
    <row r="444" ht="12.75" customHeight="1">
      <c r="C444" s="71"/>
      <c r="D444" s="102"/>
      <c r="E444" s="3">
        <v>377.0</v>
      </c>
      <c r="F444" s="103"/>
      <c r="G444" s="10"/>
      <c r="H444" s="13"/>
      <c r="I444" s="10" t="s">
        <v>156</v>
      </c>
    </row>
    <row r="445" ht="12.75" customHeight="1">
      <c r="C445" s="71"/>
      <c r="D445" s="102"/>
      <c r="E445" s="3">
        <v>378.0</v>
      </c>
      <c r="F445" s="103"/>
      <c r="G445" s="10"/>
      <c r="H445" s="13"/>
      <c r="I445" s="10" t="s">
        <v>156</v>
      </c>
    </row>
    <row r="446" ht="12.75" customHeight="1">
      <c r="C446" s="71"/>
      <c r="D446" s="102"/>
      <c r="E446" s="3">
        <v>379.0</v>
      </c>
      <c r="F446" s="103"/>
      <c r="G446" s="10"/>
      <c r="H446" s="13"/>
      <c r="I446" s="10" t="s">
        <v>156</v>
      </c>
    </row>
    <row r="447" ht="12.75" customHeight="1">
      <c r="C447" s="71"/>
      <c r="D447" s="102"/>
      <c r="E447" s="3">
        <v>380.0</v>
      </c>
      <c r="F447" s="103"/>
      <c r="G447" s="10"/>
      <c r="H447" s="13"/>
      <c r="I447" s="10" t="s">
        <v>156</v>
      </c>
    </row>
    <row r="448" ht="12.75" customHeight="1">
      <c r="C448" s="71"/>
      <c r="D448" s="102"/>
      <c r="E448" s="3">
        <v>381.0</v>
      </c>
      <c r="F448" s="103"/>
      <c r="G448" s="10"/>
      <c r="H448" s="13"/>
      <c r="I448" s="10" t="s">
        <v>156</v>
      </c>
    </row>
    <row r="449" ht="12.75" customHeight="1">
      <c r="C449" s="71"/>
      <c r="D449" s="102"/>
      <c r="E449" s="3">
        <v>382.0</v>
      </c>
      <c r="F449" s="103"/>
      <c r="G449" s="10"/>
      <c r="H449" s="13"/>
      <c r="I449" s="10" t="s">
        <v>156</v>
      </c>
    </row>
    <row r="450" ht="12.75" customHeight="1">
      <c r="C450" s="71"/>
      <c r="D450" s="102"/>
      <c r="E450" s="3">
        <v>383.0</v>
      </c>
      <c r="F450" s="103"/>
      <c r="G450" s="10"/>
      <c r="H450" s="13"/>
      <c r="I450" s="10" t="s">
        <v>156</v>
      </c>
    </row>
    <row r="451" ht="12.75" customHeight="1">
      <c r="C451" s="71"/>
      <c r="D451" s="102"/>
      <c r="E451" s="3">
        <v>384.0</v>
      </c>
      <c r="F451" s="103"/>
      <c r="G451" s="10"/>
      <c r="H451" s="13"/>
      <c r="I451" s="10" t="s">
        <v>156</v>
      </c>
    </row>
    <row r="452" ht="12.75" customHeight="1">
      <c r="C452" s="71"/>
      <c r="D452" s="102"/>
      <c r="E452" s="3">
        <v>385.0</v>
      </c>
      <c r="F452" s="103"/>
      <c r="G452" s="10"/>
      <c r="H452" s="13"/>
      <c r="I452" s="10" t="s">
        <v>156</v>
      </c>
    </row>
    <row r="453" ht="12.75" customHeight="1">
      <c r="C453" s="71"/>
      <c r="D453" s="102"/>
      <c r="E453" s="3">
        <v>386.0</v>
      </c>
      <c r="F453" s="103"/>
      <c r="G453" s="10"/>
      <c r="H453" s="13"/>
      <c r="I453" s="10" t="s">
        <v>156</v>
      </c>
    </row>
    <row r="454" ht="12.75" customHeight="1">
      <c r="C454" s="71"/>
      <c r="D454" s="102"/>
      <c r="E454" s="3">
        <v>387.0</v>
      </c>
      <c r="F454" s="103"/>
      <c r="G454" s="10"/>
      <c r="H454" s="13"/>
      <c r="I454" s="10" t="s">
        <v>156</v>
      </c>
    </row>
    <row r="455" ht="12.75" customHeight="1">
      <c r="C455" s="71"/>
      <c r="D455" s="102"/>
      <c r="E455" s="3">
        <v>388.0</v>
      </c>
      <c r="F455" s="103"/>
      <c r="G455" s="10"/>
      <c r="H455" s="13"/>
      <c r="I455" s="10" t="s">
        <v>156</v>
      </c>
    </row>
    <row r="456" ht="12.75" customHeight="1">
      <c r="C456" s="71"/>
      <c r="D456" s="102"/>
      <c r="E456" s="3">
        <v>389.0</v>
      </c>
      <c r="F456" s="103"/>
      <c r="G456" s="10"/>
      <c r="H456" s="13"/>
      <c r="I456" s="10" t="s">
        <v>156</v>
      </c>
    </row>
    <row r="457" ht="12.75" customHeight="1">
      <c r="C457" s="71"/>
      <c r="D457" s="102"/>
      <c r="E457" s="3">
        <v>390.0</v>
      </c>
      <c r="F457" s="103"/>
      <c r="G457" s="10"/>
      <c r="H457" s="13"/>
      <c r="I457" s="10" t="s">
        <v>156</v>
      </c>
    </row>
    <row r="458" ht="12.75" customHeight="1">
      <c r="C458" s="71"/>
      <c r="D458" s="102"/>
      <c r="E458" s="3">
        <v>391.0</v>
      </c>
      <c r="F458" s="103"/>
      <c r="G458" s="10"/>
      <c r="H458" s="13"/>
      <c r="I458" s="10" t="s">
        <v>156</v>
      </c>
    </row>
    <row r="459" ht="12.75" customHeight="1">
      <c r="C459" s="71"/>
      <c r="D459" s="102"/>
      <c r="E459" s="3">
        <v>392.0</v>
      </c>
      <c r="F459" s="103"/>
      <c r="G459" s="10"/>
      <c r="H459" s="13"/>
      <c r="I459" s="10" t="s">
        <v>156</v>
      </c>
    </row>
    <row r="460" ht="12.75" customHeight="1">
      <c r="C460" s="71"/>
      <c r="D460" s="102"/>
      <c r="E460" s="3">
        <v>393.0</v>
      </c>
      <c r="F460" s="103"/>
      <c r="G460" s="10"/>
      <c r="H460" s="13"/>
      <c r="I460" s="10" t="s">
        <v>156</v>
      </c>
    </row>
    <row r="461" ht="12.75" customHeight="1">
      <c r="C461" s="71"/>
      <c r="D461" s="102"/>
      <c r="E461" s="3">
        <v>394.0</v>
      </c>
      <c r="F461" s="103"/>
      <c r="G461" s="10"/>
      <c r="H461" s="13"/>
      <c r="I461" s="10" t="s">
        <v>156</v>
      </c>
    </row>
    <row r="462" ht="12.75" customHeight="1">
      <c r="C462" s="71"/>
      <c r="D462" s="102"/>
      <c r="E462" s="3">
        <v>395.0</v>
      </c>
      <c r="F462" s="103"/>
      <c r="G462" s="10"/>
      <c r="H462" s="13"/>
      <c r="I462" s="10" t="s">
        <v>156</v>
      </c>
    </row>
    <row r="463" ht="12.75" customHeight="1">
      <c r="C463" s="71"/>
      <c r="D463" s="102"/>
      <c r="E463" s="3">
        <v>396.0</v>
      </c>
      <c r="F463" s="103"/>
      <c r="G463" s="10"/>
      <c r="H463" s="13"/>
      <c r="I463" s="10" t="s">
        <v>156</v>
      </c>
    </row>
    <row r="464" ht="12.75" customHeight="1">
      <c r="C464" s="71"/>
      <c r="D464" s="102"/>
      <c r="E464" s="3">
        <v>397.0</v>
      </c>
      <c r="F464" s="103"/>
      <c r="G464" s="10"/>
      <c r="H464" s="13"/>
      <c r="I464" s="10" t="s">
        <v>156</v>
      </c>
    </row>
    <row r="465" ht="12.75" customHeight="1">
      <c r="C465" s="71"/>
      <c r="D465" s="102"/>
      <c r="E465" s="3">
        <v>398.0</v>
      </c>
      <c r="F465" s="103"/>
      <c r="G465" s="10"/>
      <c r="H465" s="13"/>
      <c r="I465" s="10" t="s">
        <v>156</v>
      </c>
    </row>
    <row r="466" ht="12.75" customHeight="1">
      <c r="C466" s="71"/>
      <c r="D466" s="102"/>
      <c r="E466" s="3">
        <v>399.0</v>
      </c>
      <c r="F466" s="103"/>
      <c r="G466" s="10"/>
      <c r="H466" s="13"/>
      <c r="I466" s="10" t="s">
        <v>156</v>
      </c>
    </row>
    <row r="467" ht="12.75" customHeight="1">
      <c r="C467" s="71"/>
      <c r="D467" s="102"/>
      <c r="E467" s="3">
        <v>400.0</v>
      </c>
      <c r="F467" s="103"/>
      <c r="G467" s="10"/>
      <c r="H467" s="13"/>
      <c r="I467" s="10" t="s">
        <v>156</v>
      </c>
    </row>
    <row r="468" ht="12.75" customHeight="1">
      <c r="C468" s="71"/>
      <c r="D468" s="102"/>
      <c r="E468" s="3">
        <v>401.0</v>
      </c>
      <c r="F468" s="103"/>
      <c r="G468" s="10"/>
      <c r="H468" s="13"/>
      <c r="I468" s="10" t="s">
        <v>156</v>
      </c>
    </row>
    <row r="469" ht="12.75" customHeight="1">
      <c r="C469" s="71"/>
      <c r="D469" s="102"/>
      <c r="E469" s="3">
        <v>402.0</v>
      </c>
      <c r="F469" s="103"/>
      <c r="G469" s="10"/>
      <c r="H469" s="13"/>
      <c r="I469" s="10" t="s">
        <v>156</v>
      </c>
    </row>
    <row r="470" ht="12.75" customHeight="1">
      <c r="C470" s="71"/>
      <c r="D470" s="102"/>
      <c r="E470" s="3">
        <v>403.0</v>
      </c>
      <c r="F470" s="103"/>
      <c r="G470" s="10"/>
      <c r="H470" s="13"/>
      <c r="I470" s="10" t="s">
        <v>156</v>
      </c>
    </row>
    <row r="471" ht="12.75" customHeight="1">
      <c r="C471" s="71"/>
      <c r="D471" s="102"/>
      <c r="E471" s="3">
        <v>404.0</v>
      </c>
      <c r="F471" s="103"/>
      <c r="G471" s="10"/>
      <c r="H471" s="13"/>
      <c r="I471" s="10" t="s">
        <v>156</v>
      </c>
    </row>
    <row r="472" ht="12.75" customHeight="1">
      <c r="C472" s="71"/>
      <c r="D472" s="102"/>
      <c r="E472" s="3">
        <v>405.0</v>
      </c>
      <c r="F472" s="103"/>
      <c r="G472" s="10"/>
      <c r="H472" s="13"/>
      <c r="I472" s="10" t="s">
        <v>156</v>
      </c>
    </row>
    <row r="473" ht="12.75" customHeight="1">
      <c r="C473" s="71"/>
      <c r="D473" s="102"/>
      <c r="E473" s="3">
        <v>406.0</v>
      </c>
      <c r="F473" s="103"/>
      <c r="G473" s="10"/>
      <c r="H473" s="13"/>
      <c r="I473" s="10" t="s">
        <v>156</v>
      </c>
    </row>
    <row r="474" ht="12.75" customHeight="1">
      <c r="C474" s="71"/>
      <c r="D474" s="102"/>
      <c r="E474" s="3">
        <v>407.0</v>
      </c>
      <c r="F474" s="103"/>
      <c r="G474" s="10"/>
      <c r="H474" s="13"/>
      <c r="I474" s="10" t="s">
        <v>156</v>
      </c>
    </row>
    <row r="475" ht="12.75" customHeight="1">
      <c r="C475" s="71"/>
      <c r="D475" s="102"/>
      <c r="E475" s="3">
        <v>408.0</v>
      </c>
      <c r="F475" s="103"/>
      <c r="G475" s="10"/>
      <c r="H475" s="13"/>
      <c r="I475" s="10" t="s">
        <v>156</v>
      </c>
    </row>
    <row r="476" ht="12.75" customHeight="1">
      <c r="C476" s="71"/>
      <c r="D476" s="102"/>
      <c r="E476" s="3">
        <v>409.0</v>
      </c>
      <c r="F476" s="103"/>
      <c r="G476" s="10"/>
      <c r="H476" s="13"/>
      <c r="I476" s="10" t="s">
        <v>156</v>
      </c>
    </row>
    <row r="477" ht="12.75" customHeight="1">
      <c r="C477" s="71"/>
      <c r="D477" s="102"/>
      <c r="E477" s="3">
        <v>410.0</v>
      </c>
      <c r="F477" s="103"/>
      <c r="G477" s="10"/>
      <c r="H477" s="13"/>
      <c r="I477" s="10" t="s">
        <v>156</v>
      </c>
    </row>
    <row r="478" ht="12.75" customHeight="1">
      <c r="C478" s="71"/>
      <c r="D478" s="102"/>
      <c r="E478" s="3">
        <v>411.0</v>
      </c>
      <c r="F478" s="103"/>
      <c r="G478" s="10"/>
      <c r="H478" s="13"/>
      <c r="I478" s="10" t="s">
        <v>156</v>
      </c>
    </row>
    <row r="479" ht="12.75" customHeight="1">
      <c r="C479" s="71"/>
      <c r="D479" s="102"/>
      <c r="E479" s="3">
        <v>412.0</v>
      </c>
      <c r="F479" s="103"/>
      <c r="G479" s="10"/>
      <c r="H479" s="13"/>
      <c r="I479" s="10" t="s">
        <v>156</v>
      </c>
    </row>
    <row r="480" ht="12.75" customHeight="1">
      <c r="C480" s="71"/>
      <c r="D480" s="102"/>
      <c r="E480" s="3">
        <v>413.0</v>
      </c>
      <c r="F480" s="103"/>
      <c r="G480" s="10"/>
      <c r="H480" s="13"/>
      <c r="I480" s="10" t="s">
        <v>156</v>
      </c>
    </row>
    <row r="481" ht="12.75" customHeight="1">
      <c r="C481" s="71"/>
      <c r="D481" s="102"/>
      <c r="E481" s="3">
        <v>414.0</v>
      </c>
      <c r="F481" s="103"/>
      <c r="G481" s="10"/>
      <c r="H481" s="13"/>
      <c r="I481" s="10" t="s">
        <v>156</v>
      </c>
    </row>
    <row r="482" ht="12.75" customHeight="1">
      <c r="C482" s="71"/>
      <c r="D482" s="102"/>
      <c r="E482" s="3">
        <v>415.0</v>
      </c>
      <c r="F482" s="103"/>
      <c r="G482" s="10"/>
      <c r="H482" s="13"/>
      <c r="I482" s="10" t="s">
        <v>156</v>
      </c>
    </row>
    <row r="483" ht="12.75" customHeight="1">
      <c r="C483" s="71"/>
      <c r="D483" s="102"/>
      <c r="E483" s="3">
        <v>416.0</v>
      </c>
      <c r="F483" s="103"/>
      <c r="G483" s="10"/>
      <c r="H483" s="13"/>
      <c r="I483" s="10" t="s">
        <v>156</v>
      </c>
    </row>
    <row r="484" ht="12.75" customHeight="1">
      <c r="C484" s="71"/>
      <c r="D484" s="102"/>
      <c r="E484" s="3">
        <v>417.0</v>
      </c>
      <c r="F484" s="103"/>
      <c r="G484" s="10"/>
      <c r="H484" s="13"/>
      <c r="I484" s="10" t="s">
        <v>156</v>
      </c>
    </row>
    <row r="485" ht="12.75" customHeight="1">
      <c r="C485" s="71"/>
      <c r="D485" s="102"/>
      <c r="E485" s="3">
        <v>418.0</v>
      </c>
      <c r="F485" s="103"/>
      <c r="G485" s="10"/>
      <c r="H485" s="13"/>
      <c r="I485" s="10" t="s">
        <v>156</v>
      </c>
    </row>
    <row r="486" ht="12.75" customHeight="1">
      <c r="C486" s="71"/>
      <c r="D486" s="102"/>
      <c r="E486" s="3">
        <v>419.0</v>
      </c>
      <c r="F486" s="103"/>
      <c r="G486" s="10"/>
      <c r="H486" s="13"/>
      <c r="I486" s="10" t="s">
        <v>156</v>
      </c>
    </row>
    <row r="487" ht="12.75" customHeight="1">
      <c r="C487" s="71"/>
      <c r="D487" s="102"/>
      <c r="E487" s="3">
        <v>420.0</v>
      </c>
      <c r="F487" s="103"/>
      <c r="G487" s="10"/>
      <c r="H487" s="13"/>
      <c r="I487" s="10" t="s">
        <v>156</v>
      </c>
    </row>
    <row r="488" ht="12.75" customHeight="1">
      <c r="C488" s="71"/>
      <c r="D488" s="102"/>
      <c r="E488" s="3">
        <v>421.0</v>
      </c>
      <c r="F488" s="103"/>
      <c r="G488" s="10"/>
      <c r="H488" s="13"/>
      <c r="I488" s="10" t="s">
        <v>156</v>
      </c>
    </row>
    <row r="489" ht="12.75" customHeight="1">
      <c r="C489" s="71"/>
      <c r="D489" s="102"/>
      <c r="E489" s="3">
        <v>422.0</v>
      </c>
      <c r="F489" s="103"/>
      <c r="G489" s="10"/>
      <c r="H489" s="13"/>
      <c r="I489" s="10" t="s">
        <v>156</v>
      </c>
    </row>
    <row r="490" ht="12.75" customHeight="1">
      <c r="C490" s="71"/>
      <c r="D490" s="102"/>
      <c r="E490" s="3">
        <v>423.0</v>
      </c>
      <c r="F490" s="103"/>
      <c r="G490" s="10"/>
      <c r="H490" s="13"/>
      <c r="I490" s="10" t="s">
        <v>156</v>
      </c>
    </row>
    <row r="491" ht="12.75" customHeight="1">
      <c r="C491" s="71"/>
      <c r="D491" s="102"/>
      <c r="E491" s="3">
        <v>424.0</v>
      </c>
      <c r="F491" s="103"/>
      <c r="G491" s="10"/>
      <c r="H491" s="13"/>
      <c r="I491" s="10" t="s">
        <v>156</v>
      </c>
    </row>
    <row r="492" ht="12.75" customHeight="1">
      <c r="C492" s="71"/>
      <c r="D492" s="102"/>
      <c r="E492" s="3">
        <v>425.0</v>
      </c>
      <c r="F492" s="103"/>
      <c r="G492" s="10"/>
      <c r="H492" s="13"/>
      <c r="I492" s="10" t="s">
        <v>156</v>
      </c>
    </row>
    <row r="493" ht="12.75" customHeight="1">
      <c r="C493" s="71"/>
      <c r="D493" s="102"/>
      <c r="E493" s="3">
        <v>426.0</v>
      </c>
      <c r="F493" s="103"/>
      <c r="G493" s="10"/>
      <c r="H493" s="13"/>
      <c r="I493" s="10" t="s">
        <v>156</v>
      </c>
    </row>
    <row r="494" ht="12.75" customHeight="1">
      <c r="C494" s="71"/>
      <c r="D494" s="102"/>
      <c r="E494" s="3">
        <v>427.0</v>
      </c>
      <c r="F494" s="103"/>
      <c r="G494" s="10"/>
      <c r="H494" s="13"/>
      <c r="I494" s="10" t="s">
        <v>156</v>
      </c>
    </row>
    <row r="495" ht="12.75" customHeight="1">
      <c r="C495" s="71"/>
      <c r="D495" s="102"/>
      <c r="E495" s="3">
        <v>428.0</v>
      </c>
      <c r="F495" s="103"/>
      <c r="G495" s="10"/>
      <c r="H495" s="13"/>
      <c r="I495" s="10" t="s">
        <v>156</v>
      </c>
    </row>
    <row r="496" ht="12.75" customHeight="1">
      <c r="C496" s="71"/>
      <c r="D496" s="102"/>
      <c r="E496" s="3">
        <v>429.0</v>
      </c>
      <c r="F496" s="103"/>
      <c r="G496" s="10"/>
      <c r="H496" s="13"/>
      <c r="I496" s="10" t="s">
        <v>156</v>
      </c>
    </row>
    <row r="497" ht="12.75" customHeight="1">
      <c r="C497" s="71"/>
      <c r="D497" s="102"/>
      <c r="E497" s="3">
        <v>430.0</v>
      </c>
      <c r="F497" s="103"/>
      <c r="G497" s="10"/>
      <c r="H497" s="13"/>
      <c r="I497" s="10" t="s">
        <v>156</v>
      </c>
    </row>
    <row r="498" ht="12.75" customHeight="1">
      <c r="C498" s="71"/>
      <c r="D498" s="102"/>
      <c r="E498" s="3">
        <v>431.0</v>
      </c>
      <c r="F498" s="103"/>
      <c r="G498" s="10"/>
      <c r="H498" s="13"/>
      <c r="I498" s="10" t="s">
        <v>156</v>
      </c>
    </row>
    <row r="499" ht="12.75" customHeight="1">
      <c r="C499" s="71"/>
      <c r="D499" s="102"/>
      <c r="E499" s="3">
        <v>432.0</v>
      </c>
      <c r="F499" s="103"/>
      <c r="G499" s="10"/>
      <c r="H499" s="13"/>
      <c r="I499" s="10" t="s">
        <v>156</v>
      </c>
    </row>
    <row r="500" ht="12.75" customHeight="1">
      <c r="C500" s="71"/>
      <c r="D500" s="102"/>
      <c r="E500" s="3">
        <v>433.0</v>
      </c>
      <c r="F500" s="103"/>
      <c r="G500" s="10"/>
      <c r="H500" s="13"/>
      <c r="I500" s="10" t="s">
        <v>156</v>
      </c>
    </row>
    <row r="501" ht="12.75" customHeight="1">
      <c r="C501" s="71"/>
      <c r="D501" s="102"/>
      <c r="E501" s="3">
        <v>434.0</v>
      </c>
      <c r="F501" s="103"/>
      <c r="G501" s="10"/>
      <c r="H501" s="13"/>
      <c r="I501" s="10" t="s">
        <v>156</v>
      </c>
    </row>
    <row r="502" ht="12.75" customHeight="1">
      <c r="C502" s="71"/>
      <c r="D502" s="102"/>
      <c r="E502" s="3">
        <v>435.0</v>
      </c>
      <c r="F502" s="103"/>
      <c r="G502" s="10"/>
      <c r="H502" s="13"/>
      <c r="I502" s="10" t="s">
        <v>156</v>
      </c>
    </row>
    <row r="503" ht="12.75" customHeight="1">
      <c r="C503" s="71"/>
      <c r="D503" s="102"/>
      <c r="E503" s="3">
        <v>436.0</v>
      </c>
      <c r="F503" s="103"/>
      <c r="G503" s="10"/>
      <c r="H503" s="13"/>
      <c r="I503" s="10" t="s">
        <v>156</v>
      </c>
    </row>
    <row r="504" ht="12.75" customHeight="1">
      <c r="C504" s="71"/>
      <c r="D504" s="102"/>
      <c r="E504" s="3">
        <v>437.0</v>
      </c>
      <c r="F504" s="103"/>
      <c r="G504" s="10"/>
      <c r="H504" s="13"/>
      <c r="I504" s="10" t="s">
        <v>156</v>
      </c>
    </row>
    <row r="505" ht="12.75" customHeight="1">
      <c r="C505" s="71"/>
      <c r="D505" s="102"/>
      <c r="E505" s="3">
        <v>438.0</v>
      </c>
      <c r="F505" s="103"/>
      <c r="G505" s="10"/>
      <c r="H505" s="13"/>
      <c r="I505" s="10" t="s">
        <v>156</v>
      </c>
    </row>
    <row r="506" ht="12.75" customHeight="1">
      <c r="C506" s="71"/>
      <c r="D506" s="102"/>
      <c r="E506" s="3">
        <v>439.0</v>
      </c>
      <c r="F506" s="103"/>
      <c r="G506" s="10"/>
      <c r="H506" s="13"/>
      <c r="I506" s="10" t="s">
        <v>156</v>
      </c>
    </row>
    <row r="507" ht="12.75" customHeight="1">
      <c r="C507" s="71"/>
      <c r="D507" s="102"/>
      <c r="E507" s="3">
        <v>440.0</v>
      </c>
      <c r="F507" s="103"/>
      <c r="G507" s="10"/>
      <c r="H507" s="13"/>
      <c r="I507" s="10" t="s">
        <v>156</v>
      </c>
    </row>
    <row r="508" ht="12.75" customHeight="1">
      <c r="C508" s="71"/>
      <c r="D508" s="102"/>
      <c r="E508" s="3">
        <v>441.0</v>
      </c>
      <c r="F508" s="103"/>
      <c r="G508" s="10"/>
      <c r="H508" s="13"/>
      <c r="I508" s="10" t="s">
        <v>156</v>
      </c>
    </row>
    <row r="509" ht="12.75" customHeight="1">
      <c r="C509" s="71"/>
      <c r="D509" s="102"/>
      <c r="E509" s="3">
        <v>442.0</v>
      </c>
      <c r="F509" s="103"/>
      <c r="G509" s="10"/>
      <c r="H509" s="13"/>
      <c r="I509" s="10" t="s">
        <v>156</v>
      </c>
    </row>
    <row r="510" ht="12.75" customHeight="1">
      <c r="C510" s="71"/>
      <c r="D510" s="102"/>
      <c r="E510" s="3">
        <v>443.0</v>
      </c>
      <c r="F510" s="103"/>
      <c r="G510" s="10"/>
      <c r="H510" s="13"/>
      <c r="I510" s="10" t="s">
        <v>156</v>
      </c>
    </row>
    <row r="511" ht="12.75" customHeight="1">
      <c r="C511" s="71"/>
      <c r="D511" s="102"/>
      <c r="E511" s="3">
        <v>444.0</v>
      </c>
      <c r="F511" s="103"/>
      <c r="G511" s="10"/>
      <c r="H511" s="13"/>
      <c r="I511" s="10" t="s">
        <v>156</v>
      </c>
    </row>
    <row r="512" ht="12.75" customHeight="1">
      <c r="C512" s="71"/>
      <c r="D512" s="102"/>
      <c r="E512" s="3">
        <v>445.0</v>
      </c>
      <c r="F512" s="103"/>
      <c r="G512" s="10"/>
      <c r="H512" s="13"/>
      <c r="I512" s="10" t="s">
        <v>156</v>
      </c>
    </row>
    <row r="513" ht="12.75" customHeight="1">
      <c r="C513" s="71"/>
      <c r="D513" s="102"/>
      <c r="E513" s="3">
        <v>446.0</v>
      </c>
      <c r="F513" s="103"/>
      <c r="G513" s="10"/>
      <c r="H513" s="13"/>
      <c r="I513" s="10" t="s">
        <v>156</v>
      </c>
    </row>
    <row r="514" ht="12.75" customHeight="1">
      <c r="C514" s="71"/>
      <c r="D514" s="102"/>
      <c r="E514" s="3">
        <v>447.0</v>
      </c>
      <c r="F514" s="103"/>
      <c r="G514" s="10"/>
      <c r="H514" s="13"/>
      <c r="I514" s="10" t="s">
        <v>156</v>
      </c>
    </row>
    <row r="515" ht="12.75" customHeight="1">
      <c r="C515" s="71"/>
      <c r="D515" s="102"/>
      <c r="E515" s="3">
        <v>448.0</v>
      </c>
      <c r="F515" s="103"/>
      <c r="G515" s="10"/>
      <c r="H515" s="13"/>
      <c r="I515" s="10" t="s">
        <v>156</v>
      </c>
    </row>
    <row r="516" ht="12.75" customHeight="1">
      <c r="C516" s="71"/>
      <c r="D516" s="102"/>
      <c r="E516" s="3">
        <v>449.0</v>
      </c>
      <c r="F516" s="103"/>
      <c r="G516" s="10"/>
      <c r="H516" s="13"/>
      <c r="I516" s="10" t="s">
        <v>156</v>
      </c>
    </row>
    <row r="517" ht="12.75" customHeight="1">
      <c r="C517" s="71"/>
      <c r="D517" s="102"/>
      <c r="E517" s="3">
        <v>450.0</v>
      </c>
      <c r="F517" s="103"/>
      <c r="G517" s="10"/>
      <c r="H517" s="13"/>
      <c r="I517" s="10" t="s">
        <v>156</v>
      </c>
    </row>
    <row r="518" ht="12.75" customHeight="1">
      <c r="C518" s="71"/>
      <c r="D518" s="102"/>
      <c r="E518" s="3">
        <v>451.0</v>
      </c>
      <c r="F518" s="103"/>
      <c r="G518" s="10"/>
      <c r="H518" s="13"/>
      <c r="I518" s="10" t="s">
        <v>156</v>
      </c>
    </row>
    <row r="519" ht="12.75" customHeight="1">
      <c r="C519" s="71"/>
      <c r="D519" s="102"/>
      <c r="E519" s="3">
        <v>452.0</v>
      </c>
      <c r="F519" s="103"/>
      <c r="G519" s="10"/>
      <c r="H519" s="13"/>
      <c r="I519" s="10" t="s">
        <v>156</v>
      </c>
    </row>
    <row r="520" ht="12.75" customHeight="1">
      <c r="C520" s="71"/>
      <c r="D520" s="102"/>
      <c r="E520" s="3">
        <v>453.0</v>
      </c>
      <c r="F520" s="103"/>
      <c r="G520" s="10"/>
      <c r="H520" s="13"/>
      <c r="I520" s="10" t="s">
        <v>156</v>
      </c>
    </row>
    <row r="521" ht="12.75" customHeight="1">
      <c r="C521" s="71"/>
      <c r="D521" s="102"/>
      <c r="E521" s="3">
        <v>454.0</v>
      </c>
      <c r="F521" s="103"/>
      <c r="G521" s="10"/>
      <c r="H521" s="13"/>
      <c r="I521" s="10" t="s">
        <v>156</v>
      </c>
    </row>
    <row r="522" ht="12.75" customHeight="1">
      <c r="C522" s="71"/>
      <c r="D522" s="102"/>
      <c r="E522" s="3">
        <v>455.0</v>
      </c>
      <c r="F522" s="103"/>
      <c r="G522" s="10"/>
      <c r="H522" s="13"/>
      <c r="I522" s="10" t="s">
        <v>156</v>
      </c>
    </row>
    <row r="523" ht="12.75" customHeight="1">
      <c r="C523" s="71"/>
      <c r="D523" s="102"/>
      <c r="E523" s="3">
        <v>456.0</v>
      </c>
      <c r="F523" s="103"/>
      <c r="G523" s="10"/>
      <c r="H523" s="13"/>
      <c r="I523" s="10" t="s">
        <v>156</v>
      </c>
    </row>
    <row r="524" ht="12.75" customHeight="1">
      <c r="C524" s="71"/>
      <c r="D524" s="102"/>
      <c r="E524" s="3">
        <v>457.0</v>
      </c>
      <c r="F524" s="103"/>
      <c r="G524" s="10"/>
      <c r="H524" s="13"/>
      <c r="I524" s="10" t="s">
        <v>156</v>
      </c>
    </row>
    <row r="525" ht="12.75" customHeight="1">
      <c r="C525" s="71"/>
      <c r="D525" s="102"/>
      <c r="E525" s="3">
        <v>458.0</v>
      </c>
      <c r="F525" s="103"/>
      <c r="G525" s="10"/>
      <c r="H525" s="13"/>
      <c r="I525" s="10" t="s">
        <v>156</v>
      </c>
    </row>
    <row r="526" ht="12.75" customHeight="1">
      <c r="C526" s="71"/>
      <c r="D526" s="102"/>
      <c r="E526" s="3">
        <v>459.0</v>
      </c>
      <c r="F526" s="103"/>
      <c r="G526" s="10"/>
      <c r="H526" s="13"/>
      <c r="I526" s="10" t="s">
        <v>156</v>
      </c>
    </row>
    <row r="527" ht="12.75" customHeight="1">
      <c r="C527" s="71"/>
      <c r="D527" s="102"/>
      <c r="E527" s="3">
        <v>460.0</v>
      </c>
      <c r="F527" s="103"/>
      <c r="G527" s="10"/>
      <c r="H527" s="13"/>
      <c r="I527" s="10" t="s">
        <v>156</v>
      </c>
    </row>
    <row r="528" ht="12.75" customHeight="1">
      <c r="C528" s="71"/>
      <c r="D528" s="102"/>
      <c r="E528" s="3">
        <v>461.0</v>
      </c>
      <c r="F528" s="103"/>
      <c r="G528" s="10"/>
      <c r="H528" s="13"/>
      <c r="I528" s="10" t="s">
        <v>156</v>
      </c>
    </row>
    <row r="529" ht="12.75" customHeight="1">
      <c r="C529" s="71"/>
      <c r="D529" s="102"/>
      <c r="E529" s="3">
        <v>462.0</v>
      </c>
      <c r="F529" s="103"/>
      <c r="G529" s="10"/>
      <c r="H529" s="13"/>
      <c r="I529" s="10" t="s">
        <v>156</v>
      </c>
    </row>
    <row r="530" ht="12.75" customHeight="1">
      <c r="C530" s="71"/>
      <c r="D530" s="102"/>
      <c r="E530" s="3">
        <v>463.0</v>
      </c>
      <c r="F530" s="103"/>
      <c r="G530" s="10"/>
      <c r="H530" s="13"/>
      <c r="I530" s="10" t="s">
        <v>156</v>
      </c>
    </row>
    <row r="531" ht="12.75" customHeight="1">
      <c r="C531" s="71"/>
      <c r="D531" s="102"/>
      <c r="E531" s="3">
        <v>464.0</v>
      </c>
      <c r="F531" s="103"/>
      <c r="G531" s="10"/>
      <c r="H531" s="13"/>
      <c r="I531" s="10" t="s">
        <v>156</v>
      </c>
    </row>
    <row r="532" ht="12.75" customHeight="1">
      <c r="C532" s="71"/>
      <c r="D532" s="102"/>
      <c r="E532" s="3">
        <v>465.0</v>
      </c>
      <c r="F532" s="103"/>
      <c r="G532" s="10"/>
      <c r="H532" s="13"/>
      <c r="I532" s="10" t="s">
        <v>156</v>
      </c>
    </row>
    <row r="533" ht="12.75" customHeight="1">
      <c r="C533" s="71"/>
      <c r="D533" s="102"/>
      <c r="E533" s="3">
        <v>466.0</v>
      </c>
      <c r="F533" s="103"/>
      <c r="G533" s="10"/>
      <c r="H533" s="13"/>
      <c r="I533" s="10" t="s">
        <v>156</v>
      </c>
    </row>
    <row r="534" ht="12.75" customHeight="1">
      <c r="C534" s="71"/>
      <c r="D534" s="102"/>
      <c r="E534" s="3">
        <v>467.0</v>
      </c>
      <c r="F534" s="103"/>
      <c r="G534" s="10"/>
      <c r="H534" s="13"/>
      <c r="I534" s="10" t="s">
        <v>156</v>
      </c>
    </row>
    <row r="535" ht="12.75" customHeight="1">
      <c r="C535" s="71"/>
      <c r="D535" s="102"/>
      <c r="E535" s="3">
        <v>468.0</v>
      </c>
      <c r="F535" s="103"/>
      <c r="G535" s="10"/>
      <c r="H535" s="13"/>
      <c r="I535" s="10" t="s">
        <v>156</v>
      </c>
    </row>
    <row r="536" ht="12.75" customHeight="1">
      <c r="C536" s="71"/>
      <c r="D536" s="102"/>
      <c r="E536" s="3">
        <v>469.0</v>
      </c>
      <c r="F536" s="103"/>
      <c r="G536" s="10"/>
      <c r="H536" s="13"/>
      <c r="I536" s="10" t="s">
        <v>156</v>
      </c>
    </row>
    <row r="537" ht="12.75" customHeight="1">
      <c r="C537" s="71"/>
      <c r="D537" s="102"/>
      <c r="E537" s="3">
        <v>470.0</v>
      </c>
      <c r="F537" s="103"/>
      <c r="G537" s="10"/>
      <c r="H537" s="13"/>
      <c r="I537" s="10" t="s">
        <v>156</v>
      </c>
    </row>
    <row r="538" ht="12.75" customHeight="1">
      <c r="C538" s="71"/>
      <c r="D538" s="102"/>
      <c r="E538" s="3">
        <v>471.0</v>
      </c>
      <c r="F538" s="103"/>
      <c r="G538" s="10"/>
      <c r="H538" s="13"/>
      <c r="I538" s="10" t="s">
        <v>156</v>
      </c>
    </row>
    <row r="539" ht="12.75" customHeight="1">
      <c r="C539" s="71"/>
      <c r="D539" s="102"/>
      <c r="E539" s="3">
        <v>472.0</v>
      </c>
      <c r="F539" s="103"/>
      <c r="G539" s="10"/>
      <c r="H539" s="13"/>
      <c r="I539" s="10" t="s">
        <v>156</v>
      </c>
    </row>
    <row r="540" ht="12.75" customHeight="1">
      <c r="C540" s="71"/>
      <c r="D540" s="102"/>
      <c r="E540" s="3">
        <v>473.0</v>
      </c>
      <c r="F540" s="103"/>
      <c r="G540" s="10"/>
      <c r="H540" s="13"/>
      <c r="I540" s="10" t="s">
        <v>156</v>
      </c>
    </row>
    <row r="541" ht="12.75" customHeight="1">
      <c r="C541" s="71"/>
      <c r="D541" s="102"/>
      <c r="E541" s="3">
        <v>474.0</v>
      </c>
      <c r="F541" s="103"/>
      <c r="G541" s="10"/>
      <c r="H541" s="13"/>
      <c r="I541" s="10" t="s">
        <v>156</v>
      </c>
    </row>
    <row r="542" ht="12.75" customHeight="1">
      <c r="C542" s="71"/>
      <c r="D542" s="102"/>
      <c r="E542" s="3">
        <v>475.0</v>
      </c>
      <c r="F542" s="103"/>
      <c r="G542" s="10"/>
      <c r="H542" s="13"/>
      <c r="I542" s="10" t="s">
        <v>156</v>
      </c>
    </row>
    <row r="543" ht="12.75" customHeight="1">
      <c r="C543" s="71"/>
      <c r="D543" s="102"/>
      <c r="E543" s="3">
        <v>476.0</v>
      </c>
      <c r="F543" s="103"/>
      <c r="G543" s="10"/>
      <c r="H543" s="13"/>
      <c r="I543" s="10" t="s">
        <v>156</v>
      </c>
    </row>
    <row r="544" ht="12.75" customHeight="1">
      <c r="C544" s="71"/>
      <c r="D544" s="102"/>
      <c r="E544" s="3">
        <v>477.0</v>
      </c>
      <c r="F544" s="103"/>
      <c r="G544" s="10"/>
      <c r="H544" s="13"/>
      <c r="I544" s="10" t="s">
        <v>156</v>
      </c>
    </row>
    <row r="545" ht="12.75" customHeight="1">
      <c r="C545" s="71"/>
      <c r="D545" s="102"/>
      <c r="E545" s="3">
        <v>478.0</v>
      </c>
      <c r="F545" s="103"/>
      <c r="G545" s="10"/>
      <c r="H545" s="13"/>
      <c r="I545" s="10" t="s">
        <v>156</v>
      </c>
    </row>
    <row r="546" ht="12.75" customHeight="1">
      <c r="C546" s="71"/>
      <c r="D546" s="102"/>
      <c r="E546" s="3">
        <v>479.0</v>
      </c>
      <c r="F546" s="103"/>
      <c r="G546" s="10"/>
      <c r="H546" s="13"/>
      <c r="I546" s="10" t="s">
        <v>156</v>
      </c>
    </row>
    <row r="547" ht="12.75" customHeight="1">
      <c r="C547" s="71"/>
      <c r="D547" s="102"/>
      <c r="E547" s="3">
        <v>480.0</v>
      </c>
      <c r="F547" s="103"/>
      <c r="G547" s="10"/>
      <c r="H547" s="13"/>
      <c r="I547" s="10" t="s">
        <v>156</v>
      </c>
    </row>
    <row r="548" ht="12.75" customHeight="1">
      <c r="C548" s="71"/>
      <c r="D548" s="102"/>
      <c r="E548" s="3">
        <v>481.0</v>
      </c>
      <c r="F548" s="103"/>
      <c r="G548" s="10"/>
      <c r="H548" s="13"/>
      <c r="I548" s="10" t="s">
        <v>156</v>
      </c>
    </row>
    <row r="549" ht="12.75" customHeight="1">
      <c r="C549" s="71"/>
      <c r="D549" s="102"/>
      <c r="E549" s="3">
        <v>482.0</v>
      </c>
      <c r="F549" s="103"/>
      <c r="G549" s="10"/>
      <c r="H549" s="13"/>
      <c r="I549" s="10" t="s">
        <v>156</v>
      </c>
    </row>
    <row r="550" ht="12.75" customHeight="1">
      <c r="C550" s="71"/>
      <c r="D550" s="102"/>
      <c r="E550" s="3">
        <v>483.0</v>
      </c>
      <c r="F550" s="103"/>
      <c r="G550" s="10"/>
      <c r="H550" s="13"/>
      <c r="I550" s="10" t="s">
        <v>156</v>
      </c>
    </row>
    <row r="551" ht="12.75" customHeight="1">
      <c r="C551" s="71"/>
      <c r="D551" s="102"/>
      <c r="E551" s="3">
        <v>484.0</v>
      </c>
      <c r="F551" s="103"/>
      <c r="G551" s="10"/>
      <c r="H551" s="13"/>
      <c r="I551" s="10" t="s">
        <v>156</v>
      </c>
    </row>
    <row r="552" ht="12.75" customHeight="1">
      <c r="C552" s="71"/>
      <c r="D552" s="102"/>
      <c r="E552" s="3">
        <v>485.0</v>
      </c>
      <c r="F552" s="103"/>
      <c r="G552" s="10"/>
      <c r="H552" s="13"/>
      <c r="I552" s="10" t="s">
        <v>156</v>
      </c>
    </row>
    <row r="553" ht="12.75" customHeight="1">
      <c r="C553" s="71"/>
      <c r="D553" s="102"/>
      <c r="E553" s="3">
        <v>486.0</v>
      </c>
      <c r="F553" s="103"/>
      <c r="G553" s="10"/>
      <c r="H553" s="13"/>
      <c r="I553" s="10" t="s">
        <v>156</v>
      </c>
    </row>
    <row r="554" ht="12.75" customHeight="1">
      <c r="C554" s="71"/>
      <c r="D554" s="102"/>
      <c r="E554" s="3">
        <v>487.0</v>
      </c>
      <c r="F554" s="103"/>
      <c r="G554" s="10"/>
      <c r="H554" s="13"/>
      <c r="I554" s="10" t="s">
        <v>156</v>
      </c>
    </row>
    <row r="555" ht="12.75" customHeight="1">
      <c r="C555" s="71"/>
      <c r="D555" s="102"/>
      <c r="E555" s="3">
        <v>488.0</v>
      </c>
      <c r="F555" s="103"/>
      <c r="G555" s="10"/>
      <c r="H555" s="13"/>
      <c r="I555" s="10" t="s">
        <v>156</v>
      </c>
    </row>
    <row r="556" ht="12.75" customHeight="1">
      <c r="C556" s="71"/>
      <c r="D556" s="102"/>
      <c r="E556" s="3">
        <v>489.0</v>
      </c>
      <c r="F556" s="103"/>
      <c r="G556" s="10"/>
      <c r="H556" s="13"/>
      <c r="I556" s="10" t="s">
        <v>156</v>
      </c>
    </row>
    <row r="557" ht="12.75" customHeight="1">
      <c r="C557" s="71"/>
      <c r="D557" s="102"/>
      <c r="E557" s="3">
        <v>490.0</v>
      </c>
      <c r="F557" s="103"/>
      <c r="G557" s="10"/>
      <c r="H557" s="13"/>
      <c r="I557" s="10" t="s">
        <v>156</v>
      </c>
    </row>
    <row r="558" ht="12.75" customHeight="1">
      <c r="C558" s="71"/>
      <c r="D558" s="102"/>
      <c r="E558" s="3">
        <v>491.0</v>
      </c>
      <c r="F558" s="103"/>
      <c r="G558" s="10"/>
      <c r="H558" s="13"/>
      <c r="I558" s="10" t="s">
        <v>156</v>
      </c>
    </row>
    <row r="559" ht="12.75" customHeight="1">
      <c r="C559" s="71"/>
      <c r="D559" s="102"/>
      <c r="E559" s="3">
        <v>492.0</v>
      </c>
      <c r="F559" s="103"/>
      <c r="G559" s="10"/>
      <c r="H559" s="13"/>
      <c r="I559" s="10" t="s">
        <v>156</v>
      </c>
    </row>
    <row r="560" ht="12.75" customHeight="1">
      <c r="C560" s="71"/>
      <c r="D560" s="102"/>
      <c r="E560" s="3">
        <v>493.0</v>
      </c>
      <c r="F560" s="103"/>
      <c r="G560" s="10"/>
      <c r="H560" s="13"/>
      <c r="I560" s="10" t="s">
        <v>156</v>
      </c>
    </row>
    <row r="561" ht="12.75" customHeight="1">
      <c r="C561" s="71"/>
      <c r="D561" s="102"/>
      <c r="E561" s="3">
        <v>494.0</v>
      </c>
      <c r="F561" s="103"/>
      <c r="G561" s="10"/>
      <c r="H561" s="13"/>
      <c r="I561" s="10" t="s">
        <v>156</v>
      </c>
    </row>
    <row r="562" ht="12.75" customHeight="1">
      <c r="C562" s="71"/>
      <c r="D562" s="102"/>
      <c r="E562" s="3">
        <v>495.0</v>
      </c>
      <c r="F562" s="103"/>
      <c r="G562" s="10"/>
      <c r="H562" s="13"/>
      <c r="I562" s="10" t="s">
        <v>156</v>
      </c>
    </row>
    <row r="563" ht="12.75" customHeight="1">
      <c r="C563" s="71"/>
      <c r="D563" s="102"/>
      <c r="E563" s="3">
        <v>496.0</v>
      </c>
      <c r="F563" s="103"/>
      <c r="G563" s="10"/>
      <c r="H563" s="13"/>
      <c r="I563" s="10" t="s">
        <v>156</v>
      </c>
    </row>
    <row r="564" ht="12.75" customHeight="1">
      <c r="C564" s="71"/>
      <c r="D564" s="102"/>
      <c r="E564" s="3">
        <v>497.0</v>
      </c>
      <c r="F564" s="103"/>
      <c r="G564" s="10"/>
      <c r="H564" s="13"/>
      <c r="I564" s="10" t="s">
        <v>156</v>
      </c>
    </row>
    <row r="565" ht="12.75" customHeight="1">
      <c r="C565" s="71"/>
      <c r="D565" s="102"/>
      <c r="E565" s="3">
        <v>498.0</v>
      </c>
      <c r="F565" s="103"/>
      <c r="G565" s="10"/>
      <c r="H565" s="13"/>
      <c r="I565" s="10" t="s">
        <v>156</v>
      </c>
    </row>
    <row r="566" ht="12.75" customHeight="1">
      <c r="C566" s="71"/>
      <c r="D566" s="102"/>
      <c r="E566" s="3">
        <v>499.0</v>
      </c>
      <c r="F566" s="103"/>
      <c r="G566" s="10"/>
      <c r="H566" s="13"/>
      <c r="I566" s="10" t="s">
        <v>156</v>
      </c>
    </row>
    <row r="567" ht="12.75" customHeight="1">
      <c r="C567" s="71"/>
      <c r="D567" s="102"/>
      <c r="E567" s="3">
        <v>500.0</v>
      </c>
      <c r="F567" s="103"/>
      <c r="G567" s="10"/>
      <c r="H567" s="13"/>
      <c r="I567" s="10" t="s">
        <v>156</v>
      </c>
    </row>
    <row r="568" ht="12.75" customHeight="1">
      <c r="C568" s="71"/>
      <c r="D568" s="102"/>
      <c r="E568" s="3">
        <v>501.0</v>
      </c>
      <c r="F568" s="103"/>
      <c r="G568" s="10"/>
      <c r="H568" s="13"/>
      <c r="I568" s="10" t="s">
        <v>156</v>
      </c>
    </row>
    <row r="569" ht="12.75" customHeight="1">
      <c r="C569" s="71"/>
      <c r="D569" s="102"/>
      <c r="E569" s="3">
        <v>502.0</v>
      </c>
      <c r="F569" s="103"/>
      <c r="G569" s="10"/>
      <c r="H569" s="13"/>
      <c r="I569" s="10" t="s">
        <v>156</v>
      </c>
    </row>
    <row r="570" ht="12.75" customHeight="1">
      <c r="C570" s="71"/>
      <c r="D570" s="102"/>
      <c r="E570" s="3">
        <v>503.0</v>
      </c>
      <c r="F570" s="103"/>
      <c r="G570" s="10"/>
      <c r="H570" s="13"/>
      <c r="I570" s="10" t="s">
        <v>156</v>
      </c>
    </row>
    <row r="571" ht="12.75" customHeight="1">
      <c r="C571" s="71"/>
      <c r="D571" s="102"/>
      <c r="E571" s="3">
        <v>504.0</v>
      </c>
      <c r="F571" s="103"/>
      <c r="G571" s="10"/>
      <c r="H571" s="13"/>
      <c r="I571" s="10" t="s">
        <v>156</v>
      </c>
    </row>
    <row r="572" ht="12.75" customHeight="1">
      <c r="C572" s="71"/>
      <c r="D572" s="102"/>
      <c r="E572" s="3">
        <v>505.0</v>
      </c>
      <c r="F572" s="103"/>
      <c r="G572" s="10"/>
      <c r="H572" s="13"/>
      <c r="I572" s="10" t="s">
        <v>156</v>
      </c>
    </row>
    <row r="573" ht="12.75" customHeight="1">
      <c r="C573" s="71"/>
      <c r="D573" s="102"/>
      <c r="E573" s="3">
        <v>506.0</v>
      </c>
      <c r="F573" s="103"/>
      <c r="G573" s="10"/>
      <c r="H573" s="13"/>
      <c r="I573" s="10" t="s">
        <v>156</v>
      </c>
    </row>
    <row r="574" ht="12.75" customHeight="1">
      <c r="C574" s="71"/>
      <c r="D574" s="102"/>
      <c r="E574" s="3">
        <v>507.0</v>
      </c>
      <c r="F574" s="103"/>
      <c r="G574" s="10"/>
      <c r="H574" s="13"/>
      <c r="I574" s="10" t="s">
        <v>156</v>
      </c>
    </row>
    <row r="575" ht="12.75" customHeight="1">
      <c r="C575" s="71"/>
      <c r="D575" s="102"/>
      <c r="E575" s="3">
        <v>508.0</v>
      </c>
      <c r="F575" s="103"/>
      <c r="G575" s="10"/>
      <c r="H575" s="13"/>
      <c r="I575" s="10" t="s">
        <v>156</v>
      </c>
    </row>
    <row r="576" ht="12.75" customHeight="1">
      <c r="C576" s="71"/>
      <c r="D576" s="102"/>
      <c r="E576" s="3">
        <v>509.0</v>
      </c>
      <c r="F576" s="103"/>
      <c r="G576" s="10"/>
      <c r="H576" s="13"/>
      <c r="I576" s="10" t="s">
        <v>156</v>
      </c>
    </row>
    <row r="577" ht="12.75" customHeight="1">
      <c r="C577" s="71"/>
      <c r="D577" s="102"/>
      <c r="E577" s="3">
        <v>510.0</v>
      </c>
      <c r="F577" s="103"/>
      <c r="G577" s="10"/>
      <c r="H577" s="13"/>
      <c r="I577" s="10" t="s">
        <v>156</v>
      </c>
    </row>
    <row r="578" ht="12.75" customHeight="1">
      <c r="C578" s="71"/>
      <c r="D578" s="102"/>
      <c r="E578" s="3">
        <v>511.0</v>
      </c>
      <c r="F578" s="103"/>
      <c r="G578" s="10"/>
      <c r="H578" s="13"/>
      <c r="I578" s="10" t="s">
        <v>156</v>
      </c>
    </row>
    <row r="579" ht="12.75" customHeight="1">
      <c r="C579" s="71"/>
      <c r="D579" s="102"/>
      <c r="E579" s="3">
        <v>512.0</v>
      </c>
      <c r="F579" s="103"/>
      <c r="G579" s="10"/>
      <c r="H579" s="13"/>
      <c r="I579" s="10" t="s">
        <v>156</v>
      </c>
    </row>
    <row r="580" ht="12.75" customHeight="1">
      <c r="C580" s="71"/>
      <c r="D580" s="102"/>
      <c r="E580" s="3">
        <v>513.0</v>
      </c>
      <c r="F580" s="103"/>
      <c r="G580" s="10"/>
      <c r="H580" s="13"/>
      <c r="I580" s="10" t="s">
        <v>156</v>
      </c>
    </row>
    <row r="581" ht="12.75" customHeight="1">
      <c r="C581" s="71"/>
      <c r="D581" s="102"/>
      <c r="E581" s="3">
        <v>514.0</v>
      </c>
      <c r="F581" s="103"/>
      <c r="G581" s="10"/>
      <c r="H581" s="13"/>
      <c r="I581" s="10" t="s">
        <v>156</v>
      </c>
    </row>
    <row r="582" ht="12.75" customHeight="1">
      <c r="C582" s="71"/>
      <c r="D582" s="102"/>
      <c r="E582" s="3">
        <v>515.0</v>
      </c>
      <c r="F582" s="103"/>
      <c r="G582" s="10"/>
      <c r="H582" s="13"/>
      <c r="I582" s="10" t="s">
        <v>156</v>
      </c>
    </row>
    <row r="583" ht="12.75" customHeight="1">
      <c r="C583" s="71"/>
      <c r="D583" s="102"/>
      <c r="E583" s="3">
        <v>516.0</v>
      </c>
      <c r="F583" s="103"/>
      <c r="G583" s="10"/>
      <c r="H583" s="13"/>
      <c r="I583" s="10" t="s">
        <v>156</v>
      </c>
    </row>
    <row r="584" ht="12.75" customHeight="1">
      <c r="C584" s="71"/>
      <c r="D584" s="102"/>
      <c r="E584" s="3">
        <v>517.0</v>
      </c>
      <c r="F584" s="103"/>
      <c r="G584" s="10"/>
      <c r="H584" s="13"/>
      <c r="I584" s="10" t="s">
        <v>156</v>
      </c>
    </row>
    <row r="585" ht="12.75" customHeight="1">
      <c r="C585" s="71"/>
      <c r="D585" s="102"/>
      <c r="E585" s="3">
        <v>518.0</v>
      </c>
      <c r="F585" s="103"/>
      <c r="G585" s="10"/>
      <c r="H585" s="13"/>
      <c r="I585" s="10" t="s">
        <v>156</v>
      </c>
    </row>
    <row r="586" ht="12.75" customHeight="1">
      <c r="C586" s="71"/>
      <c r="D586" s="102"/>
      <c r="E586" s="3">
        <v>519.0</v>
      </c>
      <c r="F586" s="103"/>
      <c r="G586" s="10"/>
      <c r="H586" s="13"/>
      <c r="I586" s="10" t="s">
        <v>156</v>
      </c>
    </row>
    <row r="587" ht="12.75" customHeight="1">
      <c r="C587" s="71"/>
      <c r="D587" s="102"/>
      <c r="E587" s="3">
        <v>520.0</v>
      </c>
      <c r="F587" s="103"/>
      <c r="G587" s="10"/>
      <c r="H587" s="13"/>
      <c r="I587" s="10" t="s">
        <v>156</v>
      </c>
    </row>
    <row r="588" ht="12.75" customHeight="1">
      <c r="C588" s="71"/>
      <c r="D588" s="102"/>
      <c r="E588" s="3">
        <v>521.0</v>
      </c>
      <c r="F588" s="103"/>
      <c r="G588" s="10"/>
      <c r="H588" s="13"/>
      <c r="I588" s="10" t="s">
        <v>156</v>
      </c>
    </row>
    <row r="589" ht="12.75" customHeight="1">
      <c r="C589" s="71"/>
      <c r="D589" s="102"/>
      <c r="E589" s="3">
        <v>522.0</v>
      </c>
      <c r="F589" s="103"/>
      <c r="G589" s="10"/>
      <c r="H589" s="13"/>
      <c r="I589" s="10" t="s">
        <v>156</v>
      </c>
    </row>
    <row r="590" ht="12.75" customHeight="1">
      <c r="C590" s="71"/>
      <c r="D590" s="102"/>
      <c r="E590" s="3">
        <v>523.0</v>
      </c>
      <c r="F590" s="103"/>
      <c r="G590" s="10"/>
      <c r="H590" s="13"/>
      <c r="I590" s="10" t="s">
        <v>156</v>
      </c>
    </row>
    <row r="591" ht="12.75" customHeight="1">
      <c r="C591" s="71"/>
      <c r="D591" s="102"/>
      <c r="E591" s="3">
        <v>524.0</v>
      </c>
      <c r="F591" s="103"/>
      <c r="G591" s="10"/>
      <c r="H591" s="13"/>
      <c r="I591" s="10" t="s">
        <v>156</v>
      </c>
    </row>
    <row r="592" ht="12.75" customHeight="1">
      <c r="C592" s="71"/>
      <c r="D592" s="102"/>
      <c r="E592" s="3">
        <v>525.0</v>
      </c>
      <c r="F592" s="103"/>
      <c r="G592" s="10"/>
      <c r="H592" s="13"/>
      <c r="I592" s="10" t="s">
        <v>156</v>
      </c>
    </row>
    <row r="593" ht="12.75" customHeight="1">
      <c r="C593" s="71"/>
      <c r="D593" s="102"/>
      <c r="E593" s="3">
        <v>526.0</v>
      </c>
      <c r="F593" s="103"/>
      <c r="G593" s="10"/>
      <c r="H593" s="13"/>
      <c r="I593" s="10" t="s">
        <v>156</v>
      </c>
    </row>
    <row r="594" ht="12.75" customHeight="1">
      <c r="C594" s="71"/>
      <c r="D594" s="102"/>
      <c r="E594" s="3">
        <v>527.0</v>
      </c>
      <c r="F594" s="103"/>
      <c r="G594" s="10"/>
      <c r="H594" s="13"/>
      <c r="I594" s="10" t="s">
        <v>156</v>
      </c>
    </row>
    <row r="595" ht="12.75" customHeight="1">
      <c r="C595" s="71"/>
      <c r="D595" s="102"/>
      <c r="E595" s="3">
        <v>528.0</v>
      </c>
      <c r="F595" s="103"/>
      <c r="G595" s="10"/>
      <c r="H595" s="13"/>
      <c r="I595" s="10" t="s">
        <v>156</v>
      </c>
    </row>
    <row r="596" ht="12.75" customHeight="1">
      <c r="C596" s="71"/>
      <c r="D596" s="102"/>
      <c r="E596" s="3">
        <v>529.0</v>
      </c>
      <c r="F596" s="103"/>
      <c r="G596" s="10"/>
      <c r="H596" s="13"/>
      <c r="I596" s="10" t="s">
        <v>156</v>
      </c>
    </row>
    <row r="597" ht="12.75" customHeight="1">
      <c r="C597" s="71"/>
      <c r="D597" s="102"/>
      <c r="E597" s="3">
        <v>530.0</v>
      </c>
      <c r="F597" s="103"/>
      <c r="G597" s="10"/>
      <c r="H597" s="13"/>
      <c r="I597" s="10" t="s">
        <v>156</v>
      </c>
    </row>
    <row r="598" ht="12.75" customHeight="1">
      <c r="C598" s="71"/>
      <c r="D598" s="102"/>
      <c r="E598" s="3">
        <v>531.0</v>
      </c>
      <c r="F598" s="103"/>
      <c r="G598" s="10"/>
      <c r="H598" s="13"/>
      <c r="I598" s="10" t="s">
        <v>156</v>
      </c>
    </row>
    <row r="599" ht="12.75" customHeight="1">
      <c r="C599" s="71"/>
      <c r="D599" s="102"/>
      <c r="E599" s="3">
        <v>532.0</v>
      </c>
      <c r="F599" s="103"/>
      <c r="G599" s="10"/>
      <c r="H599" s="13"/>
      <c r="I599" s="10" t="s">
        <v>156</v>
      </c>
    </row>
    <row r="600" ht="12.75" customHeight="1">
      <c r="C600" s="71"/>
      <c r="D600" s="102"/>
      <c r="E600" s="3">
        <v>533.0</v>
      </c>
      <c r="F600" s="103"/>
      <c r="G600" s="10"/>
      <c r="H600" s="13"/>
      <c r="I600" s="10" t="s">
        <v>156</v>
      </c>
    </row>
    <row r="601" ht="12.75" customHeight="1">
      <c r="C601" s="71"/>
      <c r="D601" s="102"/>
      <c r="E601" s="3">
        <v>534.0</v>
      </c>
      <c r="F601" s="103"/>
      <c r="G601" s="10"/>
      <c r="H601" s="13"/>
      <c r="I601" s="10" t="s">
        <v>156</v>
      </c>
    </row>
    <row r="602" ht="12.75" customHeight="1">
      <c r="C602" s="71"/>
      <c r="D602" s="102"/>
      <c r="E602" s="3">
        <v>535.0</v>
      </c>
      <c r="F602" s="103"/>
      <c r="G602" s="10"/>
      <c r="H602" s="13"/>
      <c r="I602" s="10" t="s">
        <v>156</v>
      </c>
    </row>
    <row r="603" ht="12.75" customHeight="1">
      <c r="C603" s="71"/>
      <c r="D603" s="102"/>
      <c r="E603" s="3">
        <v>536.0</v>
      </c>
      <c r="F603" s="103"/>
      <c r="G603" s="10"/>
      <c r="H603" s="13"/>
      <c r="I603" s="10" t="s">
        <v>156</v>
      </c>
    </row>
    <row r="604" ht="12.75" customHeight="1">
      <c r="C604" s="71"/>
      <c r="D604" s="102"/>
      <c r="E604" s="3">
        <v>537.0</v>
      </c>
      <c r="F604" s="103"/>
      <c r="G604" s="10"/>
      <c r="H604" s="13"/>
      <c r="I604" s="10" t="s">
        <v>156</v>
      </c>
    </row>
    <row r="605" ht="12.75" customHeight="1">
      <c r="C605" s="71"/>
      <c r="D605" s="102"/>
      <c r="E605" s="3">
        <v>538.0</v>
      </c>
      <c r="F605" s="103"/>
      <c r="G605" s="10"/>
      <c r="H605" s="13"/>
      <c r="I605" s="10" t="s">
        <v>156</v>
      </c>
    </row>
    <row r="606" ht="12.75" customHeight="1">
      <c r="C606" s="71"/>
      <c r="D606" s="102"/>
      <c r="E606" s="3">
        <v>539.0</v>
      </c>
      <c r="F606" s="103"/>
      <c r="G606" s="10"/>
      <c r="H606" s="13"/>
      <c r="I606" s="10" t="s">
        <v>156</v>
      </c>
    </row>
    <row r="607" ht="12.75" customHeight="1">
      <c r="C607" s="71"/>
      <c r="D607" s="102"/>
      <c r="E607" s="3">
        <v>540.0</v>
      </c>
      <c r="F607" s="103"/>
      <c r="G607" s="10"/>
      <c r="H607" s="13"/>
      <c r="I607" s="10" t="s">
        <v>156</v>
      </c>
    </row>
    <row r="608" ht="12.75" customHeight="1">
      <c r="C608" s="71"/>
      <c r="D608" s="102"/>
      <c r="E608" s="3">
        <v>541.0</v>
      </c>
      <c r="F608" s="103"/>
      <c r="G608" s="10"/>
      <c r="H608" s="13"/>
      <c r="I608" s="10" t="s">
        <v>156</v>
      </c>
    </row>
    <row r="609" ht="12.75" customHeight="1">
      <c r="C609" s="71"/>
      <c r="D609" s="102"/>
      <c r="E609" s="3">
        <v>542.0</v>
      </c>
      <c r="F609" s="103"/>
      <c r="G609" s="10"/>
      <c r="H609" s="13"/>
      <c r="I609" s="10" t="s">
        <v>156</v>
      </c>
    </row>
    <row r="610" ht="12.75" customHeight="1">
      <c r="C610" s="71"/>
      <c r="D610" s="102"/>
      <c r="E610" s="3">
        <v>543.0</v>
      </c>
      <c r="F610" s="103"/>
      <c r="G610" s="10"/>
      <c r="H610" s="13"/>
      <c r="I610" s="10" t="s">
        <v>156</v>
      </c>
    </row>
    <row r="611" ht="12.75" customHeight="1">
      <c r="C611" s="71"/>
      <c r="D611" s="102"/>
      <c r="E611" s="3">
        <v>544.0</v>
      </c>
      <c r="F611" s="103"/>
      <c r="G611" s="10"/>
      <c r="H611" s="13"/>
      <c r="I611" s="10" t="s">
        <v>156</v>
      </c>
    </row>
    <row r="612" ht="12.75" customHeight="1">
      <c r="C612" s="71"/>
      <c r="D612" s="102"/>
      <c r="E612" s="3">
        <v>545.0</v>
      </c>
      <c r="F612" s="103"/>
      <c r="G612" s="10"/>
      <c r="H612" s="13"/>
      <c r="I612" s="10" t="s">
        <v>156</v>
      </c>
    </row>
    <row r="613" ht="12.75" customHeight="1">
      <c r="C613" s="71"/>
      <c r="D613" s="102"/>
      <c r="E613" s="3">
        <v>546.0</v>
      </c>
      <c r="F613" s="103"/>
      <c r="G613" s="10"/>
      <c r="H613" s="13"/>
      <c r="I613" s="10" t="s">
        <v>156</v>
      </c>
    </row>
    <row r="614" ht="12.75" customHeight="1">
      <c r="C614" s="71"/>
      <c r="D614" s="102"/>
      <c r="E614" s="3">
        <v>547.0</v>
      </c>
      <c r="F614" s="103"/>
      <c r="G614" s="10"/>
      <c r="H614" s="13"/>
      <c r="I614" s="10" t="s">
        <v>156</v>
      </c>
    </row>
    <row r="615" ht="12.75" customHeight="1">
      <c r="C615" s="71"/>
      <c r="D615" s="102"/>
      <c r="E615" s="3">
        <v>548.0</v>
      </c>
      <c r="F615" s="103"/>
      <c r="G615" s="10"/>
      <c r="H615" s="13"/>
      <c r="I615" s="10" t="s">
        <v>156</v>
      </c>
    </row>
    <row r="616" ht="12.75" customHeight="1">
      <c r="C616" s="71"/>
      <c r="D616" s="102"/>
      <c r="E616" s="3">
        <v>549.0</v>
      </c>
      <c r="F616" s="103"/>
      <c r="G616" s="10"/>
      <c r="H616" s="13"/>
      <c r="I616" s="10" t="s">
        <v>156</v>
      </c>
    </row>
    <row r="617" ht="12.75" customHeight="1">
      <c r="C617" s="71"/>
      <c r="D617" s="102"/>
      <c r="E617" s="3">
        <v>550.0</v>
      </c>
      <c r="F617" s="103"/>
      <c r="G617" s="10"/>
      <c r="H617" s="13"/>
      <c r="I617" s="10" t="s">
        <v>156</v>
      </c>
    </row>
    <row r="618" ht="12.75" customHeight="1">
      <c r="C618" s="71"/>
      <c r="D618" s="102"/>
      <c r="E618" s="3">
        <v>551.0</v>
      </c>
      <c r="F618" s="103"/>
      <c r="G618" s="10"/>
      <c r="H618" s="13"/>
      <c r="I618" s="10" t="s">
        <v>156</v>
      </c>
    </row>
    <row r="619" ht="12.75" customHeight="1">
      <c r="C619" s="71"/>
      <c r="D619" s="102"/>
      <c r="E619" s="3">
        <v>552.0</v>
      </c>
      <c r="F619" s="103"/>
      <c r="G619" s="10"/>
      <c r="H619" s="13"/>
      <c r="I619" s="10" t="s">
        <v>156</v>
      </c>
    </row>
    <row r="620" ht="12.75" customHeight="1">
      <c r="C620" s="71"/>
      <c r="D620" s="102"/>
      <c r="E620" s="3">
        <v>553.0</v>
      </c>
      <c r="F620" s="103"/>
      <c r="G620" s="10"/>
      <c r="H620" s="13"/>
      <c r="I620" s="10" t="s">
        <v>156</v>
      </c>
    </row>
    <row r="621" ht="12.75" customHeight="1">
      <c r="C621" s="71"/>
      <c r="D621" s="102"/>
      <c r="E621" s="3">
        <v>554.0</v>
      </c>
      <c r="F621" s="103"/>
      <c r="G621" s="10"/>
      <c r="H621" s="13"/>
      <c r="I621" s="10" t="s">
        <v>156</v>
      </c>
    </row>
    <row r="622" ht="12.75" customHeight="1">
      <c r="C622" s="71"/>
      <c r="D622" s="102"/>
      <c r="E622" s="3">
        <v>555.0</v>
      </c>
      <c r="F622" s="103"/>
      <c r="G622" s="10"/>
      <c r="H622" s="13"/>
      <c r="I622" s="10" t="s">
        <v>156</v>
      </c>
    </row>
    <row r="623" ht="12.75" customHeight="1">
      <c r="C623" s="71"/>
      <c r="D623" s="102"/>
      <c r="E623" s="3">
        <v>556.0</v>
      </c>
      <c r="F623" s="103"/>
      <c r="G623" s="10"/>
      <c r="H623" s="13"/>
      <c r="I623" s="10" t="s">
        <v>156</v>
      </c>
    </row>
    <row r="624" ht="12.75" customHeight="1">
      <c r="C624" s="71"/>
      <c r="D624" s="102"/>
      <c r="E624" s="3">
        <v>557.0</v>
      </c>
      <c r="F624" s="103"/>
      <c r="G624" s="10"/>
      <c r="H624" s="13"/>
      <c r="I624" s="10" t="s">
        <v>156</v>
      </c>
    </row>
    <row r="625" ht="12.75" customHeight="1">
      <c r="C625" s="71"/>
      <c r="D625" s="102"/>
      <c r="E625" s="3">
        <v>558.0</v>
      </c>
      <c r="F625" s="103"/>
      <c r="G625" s="10"/>
      <c r="H625" s="13"/>
      <c r="I625" s="10" t="s">
        <v>156</v>
      </c>
    </row>
    <row r="626" ht="12.75" customHeight="1">
      <c r="C626" s="71"/>
      <c r="D626" s="102"/>
      <c r="E626" s="3">
        <v>559.0</v>
      </c>
      <c r="F626" s="103"/>
      <c r="G626" s="10"/>
      <c r="H626" s="13"/>
      <c r="I626" s="10" t="s">
        <v>156</v>
      </c>
    </row>
    <row r="627" ht="12.75" customHeight="1">
      <c r="C627" s="71"/>
      <c r="D627" s="102"/>
      <c r="E627" s="3">
        <v>560.0</v>
      </c>
      <c r="F627" s="103"/>
      <c r="G627" s="10"/>
      <c r="H627" s="13"/>
      <c r="I627" s="10" t="s">
        <v>156</v>
      </c>
    </row>
    <row r="628" ht="12.75" customHeight="1">
      <c r="C628" s="71"/>
      <c r="D628" s="102"/>
      <c r="E628" s="3">
        <v>561.0</v>
      </c>
      <c r="F628" s="103"/>
      <c r="G628" s="10"/>
      <c r="H628" s="13"/>
      <c r="I628" s="10" t="s">
        <v>156</v>
      </c>
    </row>
    <row r="629" ht="12.75" customHeight="1">
      <c r="C629" s="71"/>
      <c r="D629" s="102"/>
      <c r="E629" s="3">
        <v>562.0</v>
      </c>
      <c r="F629" s="103"/>
      <c r="G629" s="10"/>
      <c r="H629" s="13"/>
      <c r="I629" s="10" t="s">
        <v>156</v>
      </c>
    </row>
    <row r="630" ht="12.75" customHeight="1">
      <c r="C630" s="71"/>
      <c r="D630" s="102"/>
      <c r="E630" s="3">
        <v>563.0</v>
      </c>
      <c r="F630" s="103"/>
      <c r="G630" s="10"/>
      <c r="H630" s="13"/>
      <c r="I630" s="10" t="s">
        <v>156</v>
      </c>
    </row>
    <row r="631" ht="12.75" customHeight="1">
      <c r="C631" s="71"/>
      <c r="D631" s="102"/>
      <c r="E631" s="3">
        <v>564.0</v>
      </c>
      <c r="F631" s="103"/>
      <c r="G631" s="10"/>
      <c r="H631" s="13"/>
      <c r="I631" s="10" t="s">
        <v>156</v>
      </c>
    </row>
    <row r="632" ht="12.75" customHeight="1">
      <c r="C632" s="71"/>
      <c r="D632" s="102"/>
      <c r="E632" s="3">
        <v>565.0</v>
      </c>
      <c r="F632" s="103"/>
      <c r="G632" s="10"/>
      <c r="H632" s="13"/>
      <c r="I632" s="10" t="s">
        <v>156</v>
      </c>
    </row>
    <row r="633" ht="12.75" customHeight="1">
      <c r="C633" s="71"/>
      <c r="D633" s="102"/>
      <c r="E633" s="3">
        <v>566.0</v>
      </c>
      <c r="F633" s="103"/>
      <c r="G633" s="10"/>
      <c r="H633" s="13"/>
      <c r="I633" s="10" t="s">
        <v>156</v>
      </c>
    </row>
    <row r="634" ht="12.75" customHeight="1">
      <c r="C634" s="71"/>
      <c r="D634" s="102"/>
      <c r="E634" s="3">
        <v>567.0</v>
      </c>
      <c r="F634" s="103"/>
      <c r="G634" s="10"/>
      <c r="H634" s="13"/>
      <c r="I634" s="10" t="s">
        <v>156</v>
      </c>
    </row>
    <row r="635" ht="12.75" customHeight="1">
      <c r="C635" s="71"/>
      <c r="D635" s="102"/>
      <c r="E635" s="3">
        <v>568.0</v>
      </c>
      <c r="F635" s="103"/>
      <c r="G635" s="10"/>
      <c r="H635" s="13"/>
      <c r="I635" s="10" t="s">
        <v>156</v>
      </c>
    </row>
    <row r="636" ht="12.75" customHeight="1">
      <c r="C636" s="71"/>
      <c r="D636" s="102"/>
      <c r="E636" s="3">
        <v>569.0</v>
      </c>
      <c r="F636" s="103"/>
      <c r="G636" s="10"/>
      <c r="H636" s="13"/>
      <c r="I636" s="10" t="s">
        <v>156</v>
      </c>
    </row>
    <row r="637" ht="12.75" customHeight="1">
      <c r="C637" s="71"/>
      <c r="D637" s="102"/>
      <c r="E637" s="3">
        <v>570.0</v>
      </c>
      <c r="F637" s="103"/>
      <c r="G637" s="10"/>
      <c r="H637" s="13"/>
      <c r="I637" s="10" t="s">
        <v>156</v>
      </c>
    </row>
    <row r="638" ht="12.75" customHeight="1">
      <c r="C638" s="71"/>
      <c r="D638" s="102"/>
      <c r="E638" s="3">
        <v>571.0</v>
      </c>
      <c r="F638" s="103"/>
      <c r="G638" s="10"/>
      <c r="H638" s="13"/>
      <c r="I638" s="10" t="s">
        <v>156</v>
      </c>
    </row>
    <row r="639" ht="12.75" customHeight="1">
      <c r="C639" s="71"/>
      <c r="D639" s="102"/>
      <c r="E639" s="3">
        <v>572.0</v>
      </c>
      <c r="F639" s="103"/>
      <c r="G639" s="10"/>
      <c r="H639" s="13"/>
      <c r="I639" s="10" t="s">
        <v>156</v>
      </c>
    </row>
    <row r="640" ht="12.75" customHeight="1">
      <c r="C640" s="71"/>
      <c r="D640" s="102"/>
      <c r="E640" s="3">
        <v>573.0</v>
      </c>
      <c r="F640" s="103"/>
      <c r="G640" s="10"/>
      <c r="H640" s="13"/>
      <c r="I640" s="10" t="s">
        <v>156</v>
      </c>
    </row>
    <row r="641" ht="12.75" customHeight="1">
      <c r="C641" s="71"/>
      <c r="D641" s="102"/>
      <c r="E641" s="3">
        <v>574.0</v>
      </c>
      <c r="F641" s="72"/>
      <c r="H641" s="104"/>
      <c r="I641" s="10" t="s">
        <v>156</v>
      </c>
    </row>
    <row r="642" ht="12.75" customHeight="1">
      <c r="C642" s="71"/>
      <c r="D642" s="102"/>
      <c r="E642" s="3">
        <v>575.0</v>
      </c>
      <c r="F642" s="72"/>
      <c r="H642" s="13"/>
      <c r="I642" s="10" t="s">
        <v>156</v>
      </c>
    </row>
    <row r="643" ht="12.75" customHeight="1">
      <c r="C643" s="71"/>
      <c r="D643" s="102"/>
      <c r="E643" s="3">
        <v>576.0</v>
      </c>
      <c r="F643" s="72"/>
      <c r="H643" s="13"/>
      <c r="I643" s="10" t="s">
        <v>156</v>
      </c>
    </row>
    <row r="644" ht="12.75" customHeight="1">
      <c r="C644" s="71"/>
      <c r="D644" s="102"/>
      <c r="E644" s="3">
        <v>577.0</v>
      </c>
      <c r="F644" s="72"/>
      <c r="H644" s="13"/>
      <c r="I644" s="10" t="s">
        <v>156</v>
      </c>
    </row>
    <row r="645" ht="12.75" customHeight="1">
      <c r="C645" s="71"/>
      <c r="D645" s="102"/>
      <c r="E645" s="3">
        <v>578.0</v>
      </c>
      <c r="F645" s="72"/>
      <c r="H645" s="13"/>
      <c r="I645" s="10" t="s">
        <v>156</v>
      </c>
    </row>
    <row r="646" ht="12.75" customHeight="1">
      <c r="C646" s="71"/>
      <c r="D646" s="102"/>
      <c r="E646" s="3">
        <v>579.0</v>
      </c>
      <c r="F646" s="72"/>
      <c r="H646" s="13"/>
      <c r="I646" s="10" t="s">
        <v>156</v>
      </c>
    </row>
    <row r="647" ht="12.75" customHeight="1">
      <c r="C647" s="71"/>
      <c r="D647" s="102"/>
      <c r="E647" s="3">
        <v>580.0</v>
      </c>
      <c r="F647" s="72"/>
      <c r="H647" s="13"/>
      <c r="I647" s="10" t="s">
        <v>156</v>
      </c>
    </row>
    <row r="648" ht="12.75" customHeight="1">
      <c r="C648" s="71"/>
      <c r="D648" s="102"/>
      <c r="E648" s="3">
        <v>581.0</v>
      </c>
      <c r="F648" s="72"/>
      <c r="H648" s="13"/>
      <c r="I648" s="10" t="s">
        <v>156</v>
      </c>
    </row>
    <row r="649" ht="12.75" customHeight="1">
      <c r="C649" s="71"/>
      <c r="D649" s="102"/>
      <c r="E649" s="3">
        <v>582.0</v>
      </c>
      <c r="F649" s="72"/>
      <c r="H649" s="13"/>
      <c r="I649" s="10" t="s">
        <v>156</v>
      </c>
    </row>
    <row r="650" ht="12.75" customHeight="1">
      <c r="C650" s="71"/>
      <c r="D650" s="102"/>
      <c r="E650" s="3">
        <v>583.0</v>
      </c>
      <c r="F650" s="72"/>
      <c r="H650" s="13"/>
      <c r="I650" s="10" t="s">
        <v>156</v>
      </c>
    </row>
    <row r="651" ht="12.75" customHeight="1">
      <c r="C651" s="71"/>
      <c r="D651" s="102"/>
      <c r="E651" s="3">
        <v>584.0</v>
      </c>
      <c r="F651" s="72"/>
      <c r="H651" s="13"/>
      <c r="I651" s="10" t="s">
        <v>156</v>
      </c>
    </row>
    <row r="652" ht="12.75" customHeight="1">
      <c r="C652" s="71"/>
      <c r="D652" s="102"/>
      <c r="E652" s="3">
        <v>585.0</v>
      </c>
      <c r="F652" s="72"/>
      <c r="H652" s="13"/>
      <c r="I652" s="10" t="s">
        <v>156</v>
      </c>
    </row>
    <row r="653" ht="12.75" customHeight="1">
      <c r="C653" s="71"/>
      <c r="D653" s="102"/>
      <c r="E653" s="3">
        <v>586.0</v>
      </c>
      <c r="F653" s="72"/>
      <c r="H653" s="13"/>
      <c r="I653" s="10" t="s">
        <v>156</v>
      </c>
    </row>
    <row r="654" ht="12.75" customHeight="1">
      <c r="C654" s="71"/>
      <c r="D654" s="102"/>
      <c r="E654" s="3">
        <v>587.0</v>
      </c>
      <c r="F654" s="72"/>
      <c r="H654" s="13"/>
      <c r="I654" s="10" t="s">
        <v>156</v>
      </c>
    </row>
    <row r="655" ht="12.75" customHeight="1">
      <c r="C655" s="71"/>
      <c r="D655" s="102"/>
      <c r="E655" s="3">
        <v>588.0</v>
      </c>
      <c r="F655" s="72"/>
      <c r="H655" s="13"/>
      <c r="I655" s="10" t="s">
        <v>156</v>
      </c>
    </row>
    <row r="656" ht="12.75" customHeight="1">
      <c r="C656" s="71"/>
      <c r="D656" s="102"/>
      <c r="E656" s="3">
        <v>589.0</v>
      </c>
      <c r="F656" s="72"/>
      <c r="H656" s="13"/>
      <c r="I656" s="10" t="s">
        <v>156</v>
      </c>
    </row>
    <row r="657" ht="12.75" customHeight="1">
      <c r="C657" s="71"/>
      <c r="D657" s="102"/>
      <c r="E657" s="3">
        <v>590.0</v>
      </c>
      <c r="F657" s="72"/>
      <c r="H657" s="13"/>
      <c r="I657" s="10" t="s">
        <v>156</v>
      </c>
    </row>
    <row r="658" ht="12.75" customHeight="1">
      <c r="C658" s="71"/>
      <c r="D658" s="102"/>
      <c r="E658" s="3">
        <v>591.0</v>
      </c>
      <c r="F658" s="72"/>
      <c r="H658" s="13"/>
      <c r="I658" s="10" t="s">
        <v>156</v>
      </c>
    </row>
    <row r="659" ht="12.75" customHeight="1">
      <c r="C659" s="71"/>
      <c r="D659" s="102"/>
      <c r="E659" s="3">
        <v>592.0</v>
      </c>
      <c r="F659" s="72"/>
      <c r="H659" s="13"/>
      <c r="I659" s="10" t="s">
        <v>156</v>
      </c>
    </row>
    <row r="660" ht="12.75" customHeight="1">
      <c r="C660" s="71"/>
      <c r="D660" s="102"/>
      <c r="E660" s="3">
        <v>593.0</v>
      </c>
      <c r="F660" s="72"/>
      <c r="H660" s="13"/>
      <c r="I660" s="10" t="s">
        <v>156</v>
      </c>
    </row>
    <row r="661" ht="12.75" customHeight="1">
      <c r="C661" s="71"/>
      <c r="D661" s="102"/>
      <c r="E661" s="3">
        <v>594.0</v>
      </c>
      <c r="F661" s="72"/>
      <c r="H661" s="13"/>
      <c r="I661" s="10" t="s">
        <v>156</v>
      </c>
    </row>
    <row r="662" ht="12.75" customHeight="1">
      <c r="C662" s="71"/>
      <c r="D662" s="102"/>
      <c r="E662" s="3">
        <v>595.0</v>
      </c>
      <c r="F662" s="72"/>
      <c r="H662" s="13"/>
      <c r="I662" s="10" t="s">
        <v>156</v>
      </c>
    </row>
    <row r="663" ht="12.75" customHeight="1">
      <c r="C663" s="71"/>
      <c r="D663" s="102"/>
      <c r="E663" s="3">
        <v>596.0</v>
      </c>
      <c r="F663" s="72"/>
      <c r="H663" s="13"/>
      <c r="I663" s="10" t="s">
        <v>156</v>
      </c>
    </row>
    <row r="664" ht="12.75" customHeight="1">
      <c r="C664" s="71"/>
      <c r="D664" s="102"/>
      <c r="E664" s="3">
        <v>597.0</v>
      </c>
      <c r="F664" s="72"/>
      <c r="H664" s="13"/>
      <c r="I664" s="10" t="s">
        <v>156</v>
      </c>
    </row>
    <row r="665" ht="12.75" customHeight="1">
      <c r="C665" s="71"/>
      <c r="D665" s="102"/>
      <c r="E665" s="3">
        <v>598.0</v>
      </c>
      <c r="F665" s="72"/>
      <c r="H665" s="13"/>
      <c r="I665" s="10" t="s">
        <v>156</v>
      </c>
    </row>
    <row r="666" ht="12.75" customHeight="1">
      <c r="C666" s="71"/>
      <c r="D666" s="102"/>
      <c r="E666" s="3">
        <v>599.0</v>
      </c>
      <c r="F666" s="72"/>
      <c r="H666" s="13"/>
      <c r="I666" s="10" t="s">
        <v>156</v>
      </c>
    </row>
    <row r="667" ht="12.75" customHeight="1">
      <c r="C667" s="71"/>
      <c r="D667" s="102"/>
      <c r="E667" s="3">
        <v>600.0</v>
      </c>
      <c r="F667" s="72"/>
      <c r="H667" s="13"/>
      <c r="I667" s="10" t="s">
        <v>156</v>
      </c>
    </row>
    <row r="668" ht="12.75" customHeight="1">
      <c r="C668" s="71"/>
      <c r="D668" s="102"/>
      <c r="E668" s="3">
        <v>601.0</v>
      </c>
      <c r="F668" s="72"/>
      <c r="H668" s="13"/>
      <c r="I668" s="10" t="s">
        <v>156</v>
      </c>
    </row>
    <row r="669" ht="12.75" customHeight="1">
      <c r="C669" s="71"/>
      <c r="D669" s="102"/>
      <c r="E669" s="3">
        <v>602.0</v>
      </c>
      <c r="F669" s="72"/>
      <c r="H669" s="13"/>
      <c r="I669" s="10" t="s">
        <v>156</v>
      </c>
    </row>
    <row r="670" ht="12.75" customHeight="1">
      <c r="C670" s="71"/>
      <c r="D670" s="102"/>
      <c r="E670" s="3">
        <v>603.0</v>
      </c>
      <c r="F670" s="72"/>
      <c r="H670" s="13"/>
      <c r="I670" s="10" t="s">
        <v>156</v>
      </c>
    </row>
    <row r="671" ht="12.75" customHeight="1">
      <c r="C671" s="71"/>
      <c r="D671" s="102"/>
      <c r="E671" s="3">
        <v>604.0</v>
      </c>
      <c r="F671" s="72"/>
      <c r="H671" s="13"/>
      <c r="I671" s="10" t="s">
        <v>156</v>
      </c>
    </row>
    <row r="672" ht="12.75" customHeight="1">
      <c r="C672" s="71"/>
      <c r="D672" s="102"/>
      <c r="E672" s="3">
        <v>605.0</v>
      </c>
      <c r="F672" s="72"/>
      <c r="H672" s="13"/>
      <c r="I672" s="10" t="s">
        <v>156</v>
      </c>
    </row>
    <row r="673" ht="12.75" customHeight="1">
      <c r="C673" s="71"/>
      <c r="D673" s="102"/>
      <c r="E673" s="3">
        <v>606.0</v>
      </c>
      <c r="F673" s="72"/>
      <c r="H673" s="13"/>
      <c r="I673" s="10" t="s">
        <v>156</v>
      </c>
    </row>
    <row r="674" ht="12.75" customHeight="1">
      <c r="C674" s="71"/>
      <c r="D674" s="102"/>
      <c r="E674" s="3">
        <v>607.0</v>
      </c>
      <c r="F674" s="72"/>
      <c r="H674" s="13"/>
      <c r="I674" s="10" t="s">
        <v>156</v>
      </c>
    </row>
    <row r="675" ht="12.75" customHeight="1">
      <c r="C675" s="71"/>
      <c r="D675" s="102"/>
      <c r="E675" s="3">
        <v>608.0</v>
      </c>
      <c r="F675" s="72"/>
      <c r="H675" s="13"/>
      <c r="I675" s="10" t="s">
        <v>156</v>
      </c>
    </row>
    <row r="676" ht="12.75" customHeight="1">
      <c r="C676" s="71"/>
      <c r="D676" s="102"/>
      <c r="E676" s="3">
        <v>609.0</v>
      </c>
      <c r="F676" s="72"/>
      <c r="H676" s="13"/>
      <c r="I676" s="10" t="s">
        <v>156</v>
      </c>
    </row>
    <row r="677" ht="12.75" customHeight="1">
      <c r="C677" s="71"/>
      <c r="D677" s="102"/>
      <c r="E677" s="3">
        <v>610.0</v>
      </c>
      <c r="F677" s="72"/>
      <c r="H677" s="13"/>
      <c r="I677" s="10" t="s">
        <v>156</v>
      </c>
    </row>
    <row r="678" ht="12.75" customHeight="1">
      <c r="C678" s="71"/>
      <c r="D678" s="102"/>
      <c r="E678" s="3">
        <v>611.0</v>
      </c>
      <c r="F678" s="72"/>
      <c r="H678" s="13"/>
      <c r="I678" s="10" t="s">
        <v>156</v>
      </c>
    </row>
    <row r="679" ht="12.75" customHeight="1">
      <c r="C679" s="71"/>
      <c r="D679" s="102"/>
      <c r="E679" s="3">
        <v>612.0</v>
      </c>
      <c r="F679" s="72"/>
      <c r="H679" s="13"/>
      <c r="I679" s="10" t="s">
        <v>156</v>
      </c>
    </row>
    <row r="680" ht="12.75" customHeight="1">
      <c r="C680" s="71"/>
      <c r="D680" s="102"/>
      <c r="E680" s="3">
        <v>613.0</v>
      </c>
      <c r="F680" s="72"/>
      <c r="H680" s="13"/>
      <c r="I680" s="10" t="s">
        <v>156</v>
      </c>
    </row>
    <row r="681" ht="12.75" customHeight="1">
      <c r="C681" s="71"/>
      <c r="D681" s="102"/>
      <c r="E681" s="3">
        <v>614.0</v>
      </c>
      <c r="F681" s="72"/>
      <c r="H681" s="13"/>
      <c r="I681" s="10" t="s">
        <v>156</v>
      </c>
    </row>
    <row r="682" ht="12.75" customHeight="1">
      <c r="C682" s="71"/>
      <c r="D682" s="102"/>
      <c r="E682" s="3">
        <v>615.0</v>
      </c>
      <c r="F682" s="72"/>
      <c r="H682" s="13"/>
      <c r="I682" s="10" t="s">
        <v>156</v>
      </c>
    </row>
    <row r="683" ht="12.75" customHeight="1">
      <c r="C683" s="71"/>
      <c r="D683" s="102"/>
      <c r="E683" s="3">
        <v>616.0</v>
      </c>
      <c r="F683" s="72"/>
      <c r="H683" s="13"/>
      <c r="I683" s="10" t="s">
        <v>156</v>
      </c>
    </row>
    <row r="684" ht="12.75" customHeight="1">
      <c r="C684" s="71"/>
      <c r="D684" s="102"/>
      <c r="E684" s="3">
        <v>617.0</v>
      </c>
      <c r="F684" s="72"/>
      <c r="H684" s="13"/>
      <c r="I684" s="10" t="s">
        <v>156</v>
      </c>
    </row>
    <row r="685" ht="12.75" customHeight="1">
      <c r="C685" s="71"/>
      <c r="D685" s="102"/>
      <c r="E685" s="3">
        <v>618.0</v>
      </c>
      <c r="F685" s="72"/>
      <c r="H685" s="13"/>
      <c r="I685" s="10" t="s">
        <v>156</v>
      </c>
    </row>
    <row r="686" ht="12.75" customHeight="1">
      <c r="C686" s="71"/>
      <c r="D686" s="102"/>
      <c r="E686" s="3">
        <v>619.0</v>
      </c>
      <c r="F686" s="72"/>
      <c r="H686" s="13"/>
      <c r="I686" s="10" t="s">
        <v>156</v>
      </c>
    </row>
    <row r="687" ht="12.75" customHeight="1">
      <c r="C687" s="71"/>
      <c r="D687" s="102"/>
      <c r="E687" s="3">
        <v>620.0</v>
      </c>
      <c r="F687" s="72"/>
      <c r="H687" s="13"/>
      <c r="I687" s="10" t="s">
        <v>156</v>
      </c>
    </row>
    <row r="688" ht="12.75" customHeight="1">
      <c r="C688" s="71"/>
      <c r="D688" s="102"/>
      <c r="E688" s="3">
        <v>621.0</v>
      </c>
      <c r="F688" s="72"/>
      <c r="H688" s="13"/>
      <c r="I688" s="10" t="s">
        <v>156</v>
      </c>
    </row>
    <row r="689" ht="12.75" customHeight="1">
      <c r="C689" s="71"/>
      <c r="D689" s="102"/>
      <c r="E689" s="3">
        <v>622.0</v>
      </c>
      <c r="F689" s="72"/>
      <c r="H689" s="13"/>
      <c r="I689" s="10" t="s">
        <v>156</v>
      </c>
    </row>
    <row r="690" ht="12.75" customHeight="1">
      <c r="C690" s="71"/>
      <c r="D690" s="102"/>
      <c r="E690" s="3">
        <v>623.0</v>
      </c>
      <c r="F690" s="72"/>
      <c r="H690" s="13"/>
      <c r="I690" s="10" t="s">
        <v>156</v>
      </c>
    </row>
    <row r="691" ht="12.75" customHeight="1">
      <c r="C691" s="71"/>
      <c r="D691" s="102"/>
      <c r="E691" s="3">
        <v>624.0</v>
      </c>
      <c r="F691" s="72"/>
      <c r="H691" s="13"/>
      <c r="I691" s="10" t="s">
        <v>156</v>
      </c>
    </row>
    <row r="692" ht="12.75" customHeight="1">
      <c r="C692" s="71"/>
      <c r="D692" s="102"/>
      <c r="E692" s="3">
        <v>625.0</v>
      </c>
      <c r="F692" s="72"/>
      <c r="H692" s="13"/>
      <c r="I692" s="10" t="s">
        <v>156</v>
      </c>
    </row>
    <row r="693" ht="12.75" customHeight="1">
      <c r="C693" s="71"/>
      <c r="D693" s="102"/>
      <c r="E693" s="3">
        <v>626.0</v>
      </c>
      <c r="F693" s="72"/>
      <c r="H693" s="13"/>
      <c r="I693" s="10" t="s">
        <v>156</v>
      </c>
    </row>
    <row r="694" ht="12.75" customHeight="1">
      <c r="C694" s="71"/>
      <c r="D694" s="102"/>
      <c r="E694" s="3">
        <v>627.0</v>
      </c>
      <c r="F694" s="72"/>
      <c r="H694" s="13"/>
      <c r="I694" s="10" t="s">
        <v>156</v>
      </c>
    </row>
    <row r="695" ht="12.75" customHeight="1">
      <c r="C695" s="71"/>
      <c r="D695" s="102"/>
      <c r="E695" s="3">
        <v>628.0</v>
      </c>
      <c r="F695" s="72"/>
      <c r="H695" s="13"/>
      <c r="I695" s="10" t="s">
        <v>156</v>
      </c>
    </row>
    <row r="696" ht="12.75" customHeight="1">
      <c r="C696" s="71"/>
      <c r="D696" s="102"/>
      <c r="E696" s="3">
        <v>629.0</v>
      </c>
      <c r="F696" s="72"/>
      <c r="H696" s="13"/>
      <c r="I696" s="10" t="s">
        <v>156</v>
      </c>
    </row>
    <row r="697" ht="12.75" customHeight="1">
      <c r="C697" s="71"/>
      <c r="D697" s="102"/>
      <c r="E697" s="3">
        <v>630.0</v>
      </c>
      <c r="F697" s="72"/>
      <c r="H697" s="13"/>
      <c r="I697" s="10" t="s">
        <v>156</v>
      </c>
    </row>
    <row r="698" ht="12.75" customHeight="1">
      <c r="C698" s="71"/>
      <c r="D698" s="102"/>
      <c r="E698" s="3">
        <v>631.0</v>
      </c>
      <c r="F698" s="72"/>
      <c r="H698" s="13"/>
      <c r="I698" s="10" t="s">
        <v>156</v>
      </c>
    </row>
    <row r="699" ht="12.75" customHeight="1">
      <c r="C699" s="71"/>
      <c r="D699" s="102"/>
      <c r="E699" s="3">
        <v>632.0</v>
      </c>
      <c r="F699" s="72"/>
      <c r="H699" s="13"/>
      <c r="I699" s="10" t="s">
        <v>156</v>
      </c>
    </row>
    <row r="700" ht="12.75" customHeight="1">
      <c r="C700" s="71"/>
      <c r="D700" s="102"/>
      <c r="E700" s="3">
        <v>633.0</v>
      </c>
      <c r="F700" s="72"/>
      <c r="H700" s="13"/>
      <c r="I700" s="10" t="s">
        <v>156</v>
      </c>
    </row>
    <row r="701" ht="12.75" customHeight="1">
      <c r="C701" s="71"/>
      <c r="D701" s="102"/>
      <c r="E701" s="3">
        <v>634.0</v>
      </c>
      <c r="F701" s="72"/>
      <c r="H701" s="13"/>
      <c r="I701" s="10" t="s">
        <v>156</v>
      </c>
    </row>
    <row r="702" ht="12.75" customHeight="1">
      <c r="C702" s="71"/>
      <c r="D702" s="102"/>
      <c r="E702" s="3">
        <v>635.0</v>
      </c>
      <c r="F702" s="72"/>
      <c r="H702" s="13"/>
      <c r="I702" s="10" t="s">
        <v>156</v>
      </c>
    </row>
    <row r="703" ht="12.75" customHeight="1">
      <c r="C703" s="71"/>
      <c r="D703" s="102"/>
      <c r="E703" s="3">
        <v>636.0</v>
      </c>
      <c r="F703" s="72"/>
      <c r="H703" s="13"/>
      <c r="I703" s="10" t="s">
        <v>156</v>
      </c>
    </row>
    <row r="704" ht="12.75" customHeight="1">
      <c r="C704" s="71"/>
      <c r="D704" s="102"/>
      <c r="E704" s="3">
        <v>637.0</v>
      </c>
      <c r="F704" s="72"/>
      <c r="H704" s="13"/>
      <c r="I704" s="10" t="s">
        <v>156</v>
      </c>
    </row>
    <row r="705" ht="12.75" customHeight="1">
      <c r="C705" s="71"/>
      <c r="D705" s="102"/>
      <c r="E705" s="3">
        <v>638.0</v>
      </c>
      <c r="F705" s="72"/>
      <c r="H705" s="13"/>
      <c r="I705" s="10" t="s">
        <v>156</v>
      </c>
    </row>
    <row r="706" ht="12.75" customHeight="1">
      <c r="C706" s="71"/>
      <c r="D706" s="102"/>
      <c r="E706" s="3">
        <v>639.0</v>
      </c>
      <c r="F706" s="72"/>
      <c r="H706" s="13"/>
      <c r="I706" s="10" t="s">
        <v>156</v>
      </c>
    </row>
    <row r="707" ht="12.75" customHeight="1">
      <c r="C707" s="71"/>
      <c r="D707" s="102"/>
      <c r="E707" s="3">
        <v>640.0</v>
      </c>
      <c r="F707" s="72"/>
      <c r="H707" s="13"/>
      <c r="I707" s="10" t="s">
        <v>156</v>
      </c>
    </row>
    <row r="708" ht="12.75" customHeight="1">
      <c r="C708" s="71"/>
      <c r="D708" s="102"/>
      <c r="E708" s="3">
        <v>641.0</v>
      </c>
      <c r="F708" s="72"/>
      <c r="H708" s="13"/>
      <c r="I708" s="10" t="s">
        <v>156</v>
      </c>
    </row>
    <row r="709" ht="12.75" customHeight="1">
      <c r="C709" s="71"/>
      <c r="D709" s="102"/>
      <c r="E709" s="3">
        <v>642.0</v>
      </c>
      <c r="F709" s="72"/>
      <c r="H709" s="13"/>
      <c r="I709" s="10" t="s">
        <v>156</v>
      </c>
    </row>
    <row r="710" ht="12.75" customHeight="1">
      <c r="C710" s="71"/>
      <c r="D710" s="102"/>
      <c r="E710" s="3">
        <v>643.0</v>
      </c>
      <c r="F710" s="72"/>
      <c r="H710" s="13"/>
      <c r="I710" s="10" t="s">
        <v>156</v>
      </c>
    </row>
    <row r="711" ht="12.75" customHeight="1">
      <c r="C711" s="71"/>
      <c r="D711" s="102"/>
      <c r="E711" s="3">
        <v>644.0</v>
      </c>
      <c r="F711" s="72"/>
      <c r="H711" s="13"/>
      <c r="I711" s="10" t="s">
        <v>156</v>
      </c>
    </row>
    <row r="712" ht="12.75" customHeight="1">
      <c r="C712" s="71"/>
      <c r="D712" s="102"/>
      <c r="E712" s="3">
        <v>645.0</v>
      </c>
      <c r="F712" s="72"/>
      <c r="H712" s="13"/>
      <c r="I712" s="10" t="s">
        <v>156</v>
      </c>
    </row>
    <row r="713" ht="12.75" customHeight="1">
      <c r="C713" s="71"/>
      <c r="D713" s="102"/>
      <c r="E713" s="3">
        <v>646.0</v>
      </c>
      <c r="F713" s="72"/>
      <c r="H713" s="13"/>
      <c r="I713" s="10" t="s">
        <v>156</v>
      </c>
    </row>
    <row r="714" ht="12.75" customHeight="1">
      <c r="C714" s="71"/>
      <c r="D714" s="102"/>
      <c r="E714" s="3">
        <v>647.0</v>
      </c>
      <c r="F714" s="72"/>
      <c r="H714" s="13"/>
      <c r="I714" s="10" t="s">
        <v>156</v>
      </c>
    </row>
    <row r="715" ht="12.75" customHeight="1">
      <c r="C715" s="71"/>
      <c r="D715" s="102"/>
      <c r="E715" s="3">
        <v>648.0</v>
      </c>
      <c r="F715" s="72"/>
      <c r="H715" s="13"/>
      <c r="I715" s="10" t="s">
        <v>156</v>
      </c>
    </row>
    <row r="716" ht="12.75" customHeight="1">
      <c r="C716" s="71"/>
      <c r="D716" s="102"/>
      <c r="E716" s="3">
        <v>649.0</v>
      </c>
      <c r="F716" s="72"/>
      <c r="H716" s="13"/>
      <c r="I716" s="10" t="s">
        <v>156</v>
      </c>
    </row>
    <row r="717" ht="12.75" customHeight="1">
      <c r="C717" s="71"/>
      <c r="D717" s="102"/>
      <c r="E717" s="3">
        <v>650.0</v>
      </c>
      <c r="F717" s="72"/>
      <c r="H717" s="13"/>
      <c r="I717" s="10" t="s">
        <v>156</v>
      </c>
    </row>
    <row r="718" ht="12.75" customHeight="1">
      <c r="C718" s="71"/>
      <c r="D718" s="102"/>
      <c r="E718" s="3">
        <v>651.0</v>
      </c>
      <c r="F718" s="72"/>
      <c r="H718" s="13"/>
      <c r="I718" s="10" t="s">
        <v>156</v>
      </c>
    </row>
    <row r="719" ht="12.75" customHeight="1">
      <c r="C719" s="71"/>
      <c r="D719" s="102"/>
      <c r="E719" s="3">
        <v>652.0</v>
      </c>
      <c r="F719" s="72"/>
      <c r="H719" s="13"/>
      <c r="I719" s="10" t="s">
        <v>156</v>
      </c>
    </row>
    <row r="720" ht="12.75" customHeight="1">
      <c r="C720" s="71"/>
      <c r="D720" s="102"/>
      <c r="E720" s="3">
        <v>653.0</v>
      </c>
      <c r="F720" s="72"/>
      <c r="H720" s="13"/>
      <c r="I720" s="10" t="s">
        <v>156</v>
      </c>
    </row>
    <row r="721" ht="12.75" customHeight="1">
      <c r="C721" s="71"/>
      <c r="D721" s="102"/>
      <c r="E721" s="3">
        <v>654.0</v>
      </c>
      <c r="F721" s="72"/>
      <c r="H721" s="13"/>
      <c r="I721" s="10" t="s">
        <v>156</v>
      </c>
    </row>
    <row r="722" ht="12.75" customHeight="1">
      <c r="C722" s="71"/>
      <c r="D722" s="102"/>
      <c r="E722" s="3">
        <v>655.0</v>
      </c>
      <c r="F722" s="72"/>
      <c r="H722" s="13"/>
      <c r="I722" s="10" t="s">
        <v>156</v>
      </c>
    </row>
    <row r="723" ht="12.75" customHeight="1">
      <c r="C723" s="71"/>
      <c r="D723" s="102"/>
      <c r="E723" s="3">
        <v>656.0</v>
      </c>
      <c r="F723" s="72"/>
      <c r="H723" s="13"/>
      <c r="I723" s="10" t="s">
        <v>156</v>
      </c>
    </row>
    <row r="724" ht="12.75" customHeight="1">
      <c r="C724" s="71"/>
      <c r="D724" s="102"/>
      <c r="E724" s="3">
        <v>657.0</v>
      </c>
      <c r="F724" s="72"/>
      <c r="H724" s="13"/>
      <c r="I724" s="10" t="s">
        <v>156</v>
      </c>
    </row>
    <row r="725" ht="12.75" customHeight="1">
      <c r="C725" s="71"/>
      <c r="D725" s="102"/>
      <c r="E725" s="3">
        <v>658.0</v>
      </c>
      <c r="F725" s="72"/>
      <c r="H725" s="13"/>
      <c r="I725" s="10" t="s">
        <v>156</v>
      </c>
    </row>
    <row r="726" ht="12.75" customHeight="1">
      <c r="C726" s="71"/>
      <c r="D726" s="102"/>
      <c r="E726" s="3">
        <v>659.0</v>
      </c>
      <c r="F726" s="72"/>
      <c r="H726" s="13"/>
      <c r="I726" s="10" t="s">
        <v>156</v>
      </c>
    </row>
    <row r="727" ht="12.75" customHeight="1">
      <c r="C727" s="71"/>
      <c r="D727" s="102"/>
      <c r="E727" s="3">
        <v>660.0</v>
      </c>
      <c r="F727" s="72"/>
      <c r="H727" s="13"/>
      <c r="I727" s="10" t="s">
        <v>156</v>
      </c>
    </row>
    <row r="728" ht="12.75" customHeight="1">
      <c r="C728" s="71"/>
      <c r="D728" s="102"/>
      <c r="E728" s="3">
        <v>661.0</v>
      </c>
      <c r="F728" s="72"/>
      <c r="H728" s="13"/>
      <c r="I728" s="10" t="s">
        <v>156</v>
      </c>
    </row>
    <row r="729" ht="12.75" customHeight="1">
      <c r="C729" s="71"/>
      <c r="D729" s="102"/>
      <c r="E729" s="3">
        <v>662.0</v>
      </c>
      <c r="F729" s="72"/>
      <c r="H729" s="13"/>
      <c r="I729" s="10" t="s">
        <v>156</v>
      </c>
    </row>
    <row r="730" ht="12.75" customHeight="1">
      <c r="C730" s="71"/>
      <c r="D730" s="102"/>
      <c r="E730" s="3">
        <v>663.0</v>
      </c>
      <c r="F730" s="72"/>
      <c r="H730" s="13"/>
      <c r="I730" s="10" t="s">
        <v>156</v>
      </c>
    </row>
    <row r="731" ht="12.75" customHeight="1">
      <c r="C731" s="71"/>
      <c r="D731" s="102"/>
      <c r="E731" s="3">
        <v>664.0</v>
      </c>
      <c r="F731" s="72"/>
      <c r="H731" s="13"/>
      <c r="I731" s="10" t="s">
        <v>156</v>
      </c>
    </row>
    <row r="732" ht="12.75" customHeight="1">
      <c r="C732" s="71"/>
      <c r="D732" s="102"/>
      <c r="E732" s="3">
        <v>665.0</v>
      </c>
      <c r="F732" s="72"/>
      <c r="H732" s="13"/>
      <c r="I732" s="10" t="s">
        <v>156</v>
      </c>
    </row>
    <row r="733" ht="12.75" customHeight="1">
      <c r="C733" s="71"/>
      <c r="D733" s="102"/>
      <c r="E733" s="3">
        <v>666.0</v>
      </c>
      <c r="F733" s="72"/>
      <c r="H733" s="13"/>
      <c r="I733" s="10" t="s">
        <v>156</v>
      </c>
    </row>
    <row r="734" ht="12.75" customHeight="1">
      <c r="C734" s="71"/>
      <c r="D734" s="102"/>
      <c r="E734" s="3">
        <v>667.0</v>
      </c>
      <c r="F734" s="72"/>
      <c r="H734" s="13"/>
      <c r="I734" s="10" t="s">
        <v>156</v>
      </c>
    </row>
    <row r="735" ht="12.75" customHeight="1">
      <c r="C735" s="71"/>
      <c r="D735" s="102"/>
      <c r="E735" s="3">
        <v>668.0</v>
      </c>
      <c r="F735" s="72"/>
      <c r="H735" s="13"/>
      <c r="I735" s="10" t="s">
        <v>156</v>
      </c>
    </row>
    <row r="736" ht="12.75" customHeight="1">
      <c r="C736" s="71"/>
      <c r="D736" s="102"/>
      <c r="E736" s="3">
        <v>669.0</v>
      </c>
      <c r="F736" s="72"/>
      <c r="H736" s="13"/>
      <c r="I736" s="10" t="s">
        <v>156</v>
      </c>
    </row>
    <row r="737" ht="12.75" customHeight="1">
      <c r="C737" s="71"/>
      <c r="D737" s="102"/>
      <c r="E737" s="3">
        <v>670.0</v>
      </c>
      <c r="F737" s="72"/>
      <c r="H737" s="13"/>
      <c r="I737" s="10" t="s">
        <v>156</v>
      </c>
    </row>
    <row r="738" ht="12.75" customHeight="1">
      <c r="C738" s="71"/>
      <c r="D738" s="102"/>
      <c r="E738" s="3">
        <v>671.0</v>
      </c>
      <c r="F738" s="72"/>
      <c r="H738" s="13"/>
      <c r="I738" s="10" t="s">
        <v>156</v>
      </c>
    </row>
    <row r="739" ht="12.75" customHeight="1">
      <c r="C739" s="71"/>
      <c r="D739" s="102"/>
      <c r="E739" s="3">
        <v>672.0</v>
      </c>
      <c r="F739" s="72"/>
      <c r="H739" s="13"/>
      <c r="I739" s="10" t="s">
        <v>156</v>
      </c>
    </row>
    <row r="740" ht="12.75" customHeight="1">
      <c r="C740" s="71"/>
      <c r="D740" s="102"/>
      <c r="E740" s="3">
        <v>673.0</v>
      </c>
      <c r="F740" s="72"/>
      <c r="H740" s="13"/>
      <c r="I740" s="10" t="s">
        <v>156</v>
      </c>
    </row>
    <row r="741" ht="12.75" customHeight="1">
      <c r="C741" s="71"/>
      <c r="D741" s="102"/>
      <c r="E741" s="3">
        <v>674.0</v>
      </c>
      <c r="F741" s="72"/>
      <c r="H741" s="13"/>
      <c r="I741" s="10" t="s">
        <v>156</v>
      </c>
    </row>
    <row r="742" ht="12.75" customHeight="1">
      <c r="C742" s="71"/>
      <c r="D742" s="102"/>
      <c r="E742" s="3">
        <v>675.0</v>
      </c>
      <c r="F742" s="72"/>
      <c r="H742" s="13"/>
      <c r="I742" s="10" t="s">
        <v>156</v>
      </c>
    </row>
    <row r="743" ht="12.75" customHeight="1">
      <c r="C743" s="71"/>
      <c r="D743" s="102"/>
      <c r="E743" s="3">
        <v>676.0</v>
      </c>
      <c r="F743" s="72"/>
      <c r="H743" s="13"/>
      <c r="I743" s="10" t="s">
        <v>156</v>
      </c>
    </row>
    <row r="744" ht="12.75" customHeight="1">
      <c r="C744" s="71"/>
      <c r="D744" s="102"/>
      <c r="E744" s="3">
        <v>677.0</v>
      </c>
      <c r="F744" s="72"/>
      <c r="H744" s="13"/>
      <c r="I744" s="10" t="s">
        <v>156</v>
      </c>
    </row>
    <row r="745" ht="12.75" customHeight="1">
      <c r="C745" s="71"/>
      <c r="D745" s="102"/>
      <c r="E745" s="3">
        <v>678.0</v>
      </c>
      <c r="F745" s="72"/>
      <c r="H745" s="13"/>
      <c r="I745" s="10" t="s">
        <v>156</v>
      </c>
    </row>
    <row r="746" ht="12.75" customHeight="1">
      <c r="C746" s="71"/>
      <c r="D746" s="102"/>
      <c r="E746" s="3">
        <v>679.0</v>
      </c>
      <c r="F746" s="72"/>
      <c r="H746" s="13"/>
      <c r="I746" s="10" t="s">
        <v>156</v>
      </c>
    </row>
    <row r="747" ht="12.75" customHeight="1">
      <c r="C747" s="71"/>
      <c r="D747" s="102"/>
      <c r="E747" s="3">
        <v>680.0</v>
      </c>
      <c r="F747" s="72"/>
      <c r="H747" s="13"/>
      <c r="I747" s="10" t="s">
        <v>156</v>
      </c>
    </row>
    <row r="748" ht="12.75" customHeight="1">
      <c r="C748" s="71"/>
      <c r="D748" s="102"/>
      <c r="E748" s="3">
        <v>681.0</v>
      </c>
      <c r="F748" s="72"/>
      <c r="H748" s="13"/>
      <c r="I748" s="10" t="s">
        <v>156</v>
      </c>
    </row>
    <row r="749" ht="12.75" customHeight="1">
      <c r="C749" s="71"/>
      <c r="D749" s="102"/>
      <c r="E749" s="3">
        <v>682.0</v>
      </c>
      <c r="F749" s="72"/>
      <c r="H749" s="13"/>
      <c r="I749" s="10" t="s">
        <v>156</v>
      </c>
    </row>
    <row r="750" ht="12.75" customHeight="1">
      <c r="C750" s="71"/>
      <c r="D750" s="102"/>
      <c r="E750" s="3">
        <v>683.0</v>
      </c>
      <c r="F750" s="72"/>
      <c r="H750" s="13"/>
      <c r="I750" s="10" t="s">
        <v>156</v>
      </c>
    </row>
    <row r="751" ht="12.75" customHeight="1">
      <c r="C751" s="71"/>
      <c r="D751" s="102"/>
      <c r="E751" s="3">
        <v>684.0</v>
      </c>
      <c r="F751" s="72"/>
      <c r="H751" s="13"/>
      <c r="I751" s="10" t="s">
        <v>156</v>
      </c>
    </row>
    <row r="752" ht="12.75" customHeight="1">
      <c r="C752" s="71"/>
      <c r="D752" s="102"/>
      <c r="E752" s="3">
        <v>685.0</v>
      </c>
      <c r="F752" s="72"/>
      <c r="H752" s="13"/>
      <c r="I752" s="10" t="s">
        <v>156</v>
      </c>
    </row>
    <row r="753" ht="12.75" customHeight="1">
      <c r="C753" s="71"/>
      <c r="D753" s="102"/>
      <c r="E753" s="3">
        <v>686.0</v>
      </c>
      <c r="F753" s="72"/>
      <c r="H753" s="13"/>
      <c r="I753" s="10" t="s">
        <v>156</v>
      </c>
    </row>
    <row r="754" ht="12.75" customHeight="1">
      <c r="C754" s="71"/>
      <c r="D754" s="102"/>
      <c r="E754" s="3">
        <v>687.0</v>
      </c>
      <c r="F754" s="72"/>
      <c r="H754" s="13"/>
      <c r="I754" s="10" t="s">
        <v>156</v>
      </c>
    </row>
    <row r="755" ht="12.75" customHeight="1">
      <c r="C755" s="71"/>
      <c r="D755" s="102"/>
      <c r="E755" s="3">
        <v>688.0</v>
      </c>
      <c r="F755" s="72"/>
      <c r="H755" s="13"/>
      <c r="I755" s="10" t="s">
        <v>156</v>
      </c>
    </row>
    <row r="756" ht="12.75" customHeight="1">
      <c r="C756" s="71"/>
      <c r="D756" s="102"/>
      <c r="E756" s="3">
        <v>689.0</v>
      </c>
      <c r="F756" s="72"/>
      <c r="H756" s="13"/>
      <c r="I756" s="10" t="s">
        <v>156</v>
      </c>
    </row>
    <row r="757" ht="12.75" customHeight="1">
      <c r="C757" s="71"/>
      <c r="D757" s="102"/>
      <c r="E757" s="3">
        <v>690.0</v>
      </c>
      <c r="F757" s="72"/>
      <c r="H757" s="13"/>
      <c r="I757" s="10" t="s">
        <v>156</v>
      </c>
    </row>
    <row r="758" ht="12.75" customHeight="1">
      <c r="C758" s="71"/>
      <c r="D758" s="102"/>
      <c r="E758" s="3">
        <v>691.0</v>
      </c>
      <c r="F758" s="72"/>
      <c r="H758" s="13"/>
      <c r="I758" s="10" t="s">
        <v>156</v>
      </c>
    </row>
    <row r="759" ht="12.75" customHeight="1">
      <c r="C759" s="71"/>
      <c r="D759" s="102"/>
      <c r="E759" s="3">
        <v>692.0</v>
      </c>
      <c r="F759" s="72"/>
      <c r="H759" s="13"/>
      <c r="I759" s="10" t="s">
        <v>156</v>
      </c>
    </row>
    <row r="760" ht="12.75" customHeight="1">
      <c r="C760" s="71"/>
      <c r="D760" s="102"/>
      <c r="E760" s="3">
        <v>693.0</v>
      </c>
      <c r="F760" s="72"/>
      <c r="H760" s="13"/>
      <c r="I760" s="10" t="s">
        <v>156</v>
      </c>
    </row>
    <row r="761" ht="12.75" customHeight="1">
      <c r="C761" s="71"/>
      <c r="D761" s="102"/>
      <c r="E761" s="3">
        <v>694.0</v>
      </c>
      <c r="F761" s="72"/>
      <c r="H761" s="13"/>
      <c r="I761" s="10" t="s">
        <v>156</v>
      </c>
    </row>
    <row r="762" ht="12.75" customHeight="1">
      <c r="C762" s="71"/>
      <c r="D762" s="102"/>
      <c r="E762" s="3">
        <v>695.0</v>
      </c>
      <c r="F762" s="72"/>
      <c r="H762" s="13"/>
      <c r="I762" s="10" t="s">
        <v>156</v>
      </c>
    </row>
    <row r="763" ht="12.75" customHeight="1">
      <c r="C763" s="71"/>
      <c r="D763" s="102"/>
      <c r="E763" s="3">
        <v>696.0</v>
      </c>
      <c r="F763" s="72"/>
      <c r="H763" s="13"/>
      <c r="I763" s="10" t="s">
        <v>156</v>
      </c>
    </row>
    <row r="764" ht="12.75" customHeight="1">
      <c r="C764" s="71"/>
      <c r="D764" s="102"/>
      <c r="E764" s="3">
        <v>697.0</v>
      </c>
      <c r="F764" s="72"/>
      <c r="H764" s="13"/>
      <c r="I764" s="10" t="s">
        <v>156</v>
      </c>
    </row>
    <row r="765" ht="12.75" customHeight="1">
      <c r="C765" s="71"/>
      <c r="D765" s="102"/>
      <c r="E765" s="3">
        <v>698.0</v>
      </c>
      <c r="F765" s="72"/>
      <c r="H765" s="13"/>
      <c r="I765" s="10" t="s">
        <v>156</v>
      </c>
    </row>
    <row r="766" ht="12.75" customHeight="1">
      <c r="C766" s="71"/>
      <c r="D766" s="102"/>
      <c r="E766" s="3">
        <v>699.0</v>
      </c>
      <c r="F766" s="72"/>
      <c r="H766" s="13"/>
      <c r="I766" s="10" t="s">
        <v>156</v>
      </c>
    </row>
    <row r="767" ht="12.75" customHeight="1">
      <c r="C767" s="71"/>
      <c r="D767" s="102"/>
      <c r="E767" s="3">
        <v>700.0</v>
      </c>
      <c r="F767" s="72"/>
      <c r="H767" s="13"/>
      <c r="I767" s="10" t="s">
        <v>156</v>
      </c>
    </row>
    <row r="768" ht="12.75" customHeight="1">
      <c r="C768" s="71"/>
      <c r="D768" s="102"/>
      <c r="E768" s="3">
        <v>701.0</v>
      </c>
      <c r="F768" s="72"/>
      <c r="H768" s="13"/>
      <c r="I768" s="10" t="s">
        <v>156</v>
      </c>
    </row>
    <row r="769" ht="12.75" customHeight="1">
      <c r="C769" s="71"/>
      <c r="D769" s="102"/>
      <c r="E769" s="3">
        <v>702.0</v>
      </c>
      <c r="F769" s="72"/>
      <c r="H769" s="13"/>
      <c r="I769" s="10" t="s">
        <v>156</v>
      </c>
    </row>
    <row r="770" ht="12.75" customHeight="1">
      <c r="C770" s="71"/>
      <c r="D770" s="102"/>
      <c r="E770" s="3">
        <v>703.0</v>
      </c>
      <c r="F770" s="72"/>
      <c r="H770" s="13"/>
      <c r="I770" s="10" t="s">
        <v>156</v>
      </c>
    </row>
    <row r="771" ht="12.75" customHeight="1">
      <c r="C771" s="71"/>
      <c r="D771" s="102"/>
      <c r="E771" s="3">
        <v>704.0</v>
      </c>
      <c r="F771" s="72"/>
      <c r="H771" s="13"/>
      <c r="I771" s="10" t="s">
        <v>156</v>
      </c>
    </row>
    <row r="772" ht="12.75" customHeight="1">
      <c r="C772" s="71"/>
      <c r="D772" s="102"/>
      <c r="E772" s="3">
        <v>705.0</v>
      </c>
      <c r="F772" s="72"/>
      <c r="H772" s="13"/>
      <c r="I772" s="10" t="s">
        <v>156</v>
      </c>
    </row>
    <row r="773" ht="12.75" customHeight="1">
      <c r="C773" s="71"/>
      <c r="D773" s="102"/>
      <c r="E773" s="3">
        <v>706.0</v>
      </c>
      <c r="F773" s="72"/>
      <c r="H773" s="13"/>
      <c r="I773" s="10" t="s">
        <v>156</v>
      </c>
    </row>
    <row r="774" ht="12.75" customHeight="1">
      <c r="C774" s="71"/>
      <c r="D774" s="102"/>
      <c r="E774" s="3">
        <v>707.0</v>
      </c>
      <c r="F774" s="72"/>
      <c r="H774" s="13"/>
      <c r="I774" s="10" t="s">
        <v>156</v>
      </c>
    </row>
    <row r="775" ht="12.75" customHeight="1">
      <c r="C775" s="71"/>
      <c r="D775" s="102"/>
      <c r="E775" s="3">
        <v>708.0</v>
      </c>
      <c r="F775" s="72"/>
      <c r="H775" s="13"/>
      <c r="I775" s="10" t="s">
        <v>156</v>
      </c>
    </row>
    <row r="776" ht="12.75" customHeight="1">
      <c r="C776" s="71"/>
      <c r="D776" s="102"/>
      <c r="E776" s="3">
        <v>709.0</v>
      </c>
      <c r="F776" s="72"/>
      <c r="H776" s="13"/>
      <c r="I776" s="10" t="s">
        <v>156</v>
      </c>
    </row>
    <row r="777" ht="12.75" customHeight="1">
      <c r="C777" s="71"/>
      <c r="D777" s="102"/>
      <c r="E777" s="3">
        <v>710.0</v>
      </c>
      <c r="F777" s="72"/>
      <c r="H777" s="13"/>
      <c r="I777" s="10" t="s">
        <v>156</v>
      </c>
    </row>
    <row r="778" ht="12.75" customHeight="1">
      <c r="C778" s="71"/>
      <c r="D778" s="102"/>
      <c r="E778" s="3">
        <v>711.0</v>
      </c>
      <c r="F778" s="72"/>
      <c r="H778" s="13"/>
      <c r="I778" s="10" t="s">
        <v>156</v>
      </c>
    </row>
    <row r="779" ht="12.75" customHeight="1">
      <c r="C779" s="71"/>
      <c r="D779" s="102"/>
      <c r="E779" s="3">
        <v>712.0</v>
      </c>
      <c r="F779" s="72"/>
      <c r="H779" s="13"/>
      <c r="I779" s="10" t="s">
        <v>156</v>
      </c>
    </row>
    <row r="780" ht="12.75" customHeight="1">
      <c r="C780" s="71"/>
      <c r="D780" s="102"/>
      <c r="E780" s="3">
        <v>713.0</v>
      </c>
      <c r="F780" s="72"/>
      <c r="H780" s="13"/>
      <c r="I780" s="10" t="s">
        <v>156</v>
      </c>
    </row>
    <row r="781" ht="12.75" customHeight="1">
      <c r="C781" s="71"/>
      <c r="D781" s="102"/>
      <c r="E781" s="3">
        <v>714.0</v>
      </c>
      <c r="F781" s="72"/>
      <c r="H781" s="13"/>
      <c r="I781" s="10" t="s">
        <v>156</v>
      </c>
    </row>
    <row r="782" ht="12.75" customHeight="1">
      <c r="C782" s="71"/>
      <c r="D782" s="102"/>
      <c r="E782" s="3">
        <v>715.0</v>
      </c>
      <c r="F782" s="72"/>
      <c r="H782" s="13"/>
      <c r="I782" s="10" t="s">
        <v>156</v>
      </c>
    </row>
    <row r="783" ht="12.75" customHeight="1">
      <c r="C783" s="71"/>
      <c r="D783" s="102"/>
      <c r="E783" s="3">
        <v>716.0</v>
      </c>
      <c r="F783" s="72"/>
      <c r="H783" s="13"/>
      <c r="I783" s="10" t="s">
        <v>156</v>
      </c>
    </row>
    <row r="784" ht="12.75" customHeight="1">
      <c r="C784" s="71"/>
      <c r="D784" s="102"/>
      <c r="E784" s="3">
        <v>717.0</v>
      </c>
      <c r="F784" s="72"/>
      <c r="H784" s="13"/>
      <c r="I784" s="10" t="s">
        <v>156</v>
      </c>
    </row>
    <row r="785" ht="12.75" customHeight="1">
      <c r="C785" s="71"/>
      <c r="D785" s="102"/>
      <c r="E785" s="3">
        <v>718.0</v>
      </c>
      <c r="F785" s="72"/>
      <c r="H785" s="13"/>
      <c r="I785" s="10" t="s">
        <v>156</v>
      </c>
    </row>
    <row r="786" ht="12.75" customHeight="1">
      <c r="C786" s="71"/>
      <c r="D786" s="102"/>
      <c r="E786" s="3">
        <v>719.0</v>
      </c>
      <c r="F786" s="72"/>
      <c r="H786" s="13"/>
      <c r="I786" s="10" t="s">
        <v>156</v>
      </c>
    </row>
    <row r="787" ht="12.75" customHeight="1">
      <c r="C787" s="71"/>
      <c r="D787" s="102"/>
      <c r="E787" s="3">
        <v>720.0</v>
      </c>
      <c r="F787" s="72"/>
      <c r="H787" s="13"/>
      <c r="I787" s="10" t="s">
        <v>156</v>
      </c>
    </row>
    <row r="788" ht="12.75" customHeight="1">
      <c r="C788" s="71"/>
      <c r="D788" s="102"/>
      <c r="E788" s="3">
        <v>721.0</v>
      </c>
      <c r="F788" s="72"/>
      <c r="H788" s="13"/>
      <c r="I788" s="10" t="s">
        <v>156</v>
      </c>
    </row>
    <row r="789" ht="12.75" customHeight="1">
      <c r="C789" s="71"/>
      <c r="D789" s="102"/>
      <c r="E789" s="3">
        <v>722.0</v>
      </c>
      <c r="F789" s="72"/>
      <c r="H789" s="13"/>
      <c r="I789" s="10" t="s">
        <v>156</v>
      </c>
    </row>
    <row r="790" ht="12.75" customHeight="1">
      <c r="C790" s="71"/>
      <c r="D790" s="102"/>
      <c r="E790" s="3">
        <v>723.0</v>
      </c>
      <c r="F790" s="72"/>
      <c r="H790" s="13"/>
      <c r="I790" s="10" t="s">
        <v>156</v>
      </c>
    </row>
    <row r="791" ht="12.75" customHeight="1">
      <c r="C791" s="71"/>
      <c r="D791" s="102"/>
      <c r="E791" s="3">
        <v>724.0</v>
      </c>
      <c r="F791" s="72"/>
      <c r="H791" s="13"/>
      <c r="I791" s="10" t="s">
        <v>156</v>
      </c>
    </row>
    <row r="792" ht="12.75" customHeight="1">
      <c r="C792" s="71"/>
      <c r="D792" s="102"/>
      <c r="E792" s="3">
        <v>725.0</v>
      </c>
      <c r="F792" s="72"/>
      <c r="H792" s="13"/>
      <c r="I792" s="10" t="s">
        <v>156</v>
      </c>
    </row>
    <row r="793" ht="12.75" customHeight="1">
      <c r="C793" s="71"/>
      <c r="D793" s="102"/>
      <c r="E793" s="3">
        <v>726.0</v>
      </c>
      <c r="F793" s="72"/>
      <c r="H793" s="13"/>
      <c r="I793" s="10" t="s">
        <v>156</v>
      </c>
    </row>
    <row r="794" ht="12.75" customHeight="1">
      <c r="C794" s="71"/>
      <c r="D794" s="102"/>
      <c r="E794" s="3">
        <v>727.0</v>
      </c>
      <c r="F794" s="72"/>
      <c r="H794" s="13"/>
      <c r="I794" s="10" t="s">
        <v>156</v>
      </c>
    </row>
    <row r="795" ht="12.75" customHeight="1">
      <c r="C795" s="71"/>
      <c r="D795" s="102"/>
      <c r="E795" s="3">
        <v>728.0</v>
      </c>
      <c r="F795" s="72"/>
      <c r="H795" s="13"/>
      <c r="I795" s="10" t="s">
        <v>156</v>
      </c>
    </row>
    <row r="796" ht="12.75" customHeight="1">
      <c r="C796" s="71"/>
      <c r="D796" s="102"/>
      <c r="E796" s="3">
        <v>729.0</v>
      </c>
      <c r="F796" s="72"/>
      <c r="H796" s="13"/>
      <c r="I796" s="10" t="s">
        <v>156</v>
      </c>
    </row>
    <row r="797" ht="12.75" customHeight="1">
      <c r="C797" s="71"/>
      <c r="D797" s="102"/>
      <c r="E797" s="3">
        <v>730.0</v>
      </c>
      <c r="F797" s="72"/>
      <c r="H797" s="13"/>
      <c r="I797" s="10" t="s">
        <v>156</v>
      </c>
    </row>
    <row r="798" ht="12.75" customHeight="1">
      <c r="C798" s="71"/>
      <c r="D798" s="102"/>
      <c r="E798" s="3">
        <v>731.0</v>
      </c>
      <c r="F798" s="72"/>
      <c r="H798" s="13"/>
      <c r="I798" s="10" t="s">
        <v>156</v>
      </c>
    </row>
    <row r="799" ht="12.75" customHeight="1">
      <c r="C799" s="71"/>
      <c r="D799" s="102"/>
      <c r="E799" s="3">
        <v>732.0</v>
      </c>
      <c r="F799" s="72"/>
      <c r="H799" s="13"/>
      <c r="I799" s="10" t="s">
        <v>156</v>
      </c>
    </row>
    <row r="800" ht="12.75" customHeight="1">
      <c r="C800" s="71"/>
      <c r="D800" s="102"/>
      <c r="E800" s="3">
        <v>733.0</v>
      </c>
      <c r="F800" s="72"/>
      <c r="H800" s="13"/>
      <c r="I800" s="10" t="s">
        <v>156</v>
      </c>
    </row>
    <row r="801" ht="12.75" customHeight="1">
      <c r="C801" s="71"/>
      <c r="D801" s="102"/>
      <c r="E801" s="3">
        <v>734.0</v>
      </c>
      <c r="F801" s="72"/>
      <c r="H801" s="13"/>
      <c r="I801" s="10" t="s">
        <v>156</v>
      </c>
    </row>
    <row r="802" ht="12.75" customHeight="1">
      <c r="C802" s="71"/>
      <c r="D802" s="102"/>
      <c r="E802" s="3">
        <v>735.0</v>
      </c>
      <c r="F802" s="72"/>
      <c r="H802" s="13"/>
      <c r="I802" s="10" t="s">
        <v>156</v>
      </c>
    </row>
    <row r="803" ht="12.75" customHeight="1">
      <c r="C803" s="71"/>
      <c r="D803" s="102"/>
      <c r="E803" s="3">
        <v>736.0</v>
      </c>
      <c r="F803" s="72"/>
      <c r="H803" s="13"/>
      <c r="I803" s="10" t="s">
        <v>156</v>
      </c>
    </row>
    <row r="804" ht="12.75" customHeight="1">
      <c r="C804" s="71"/>
      <c r="D804" s="102"/>
      <c r="E804" s="3">
        <v>737.0</v>
      </c>
      <c r="F804" s="72"/>
      <c r="H804" s="13"/>
      <c r="I804" s="10" t="s">
        <v>156</v>
      </c>
    </row>
    <row r="805" ht="12.75" customHeight="1">
      <c r="C805" s="71"/>
      <c r="D805" s="102"/>
      <c r="E805" s="3">
        <v>738.0</v>
      </c>
      <c r="F805" s="72"/>
      <c r="H805" s="13"/>
      <c r="I805" s="10" t="s">
        <v>156</v>
      </c>
    </row>
    <row r="806" ht="12.75" customHeight="1">
      <c r="C806" s="71"/>
      <c r="D806" s="102"/>
      <c r="E806" s="3">
        <v>739.0</v>
      </c>
      <c r="F806" s="72"/>
      <c r="H806" s="13"/>
      <c r="I806" s="10" t="s">
        <v>156</v>
      </c>
    </row>
    <row r="807" ht="12.75" customHeight="1">
      <c r="C807" s="71"/>
      <c r="D807" s="102"/>
      <c r="E807" s="3">
        <v>740.0</v>
      </c>
      <c r="F807" s="72"/>
      <c r="H807" s="13"/>
      <c r="I807" s="10" t="s">
        <v>156</v>
      </c>
    </row>
    <row r="808" ht="12.75" customHeight="1">
      <c r="C808" s="71"/>
      <c r="D808" s="102"/>
      <c r="E808" s="3">
        <v>741.0</v>
      </c>
      <c r="F808" s="72"/>
      <c r="H808" s="13"/>
      <c r="I808" s="10" t="s">
        <v>156</v>
      </c>
    </row>
    <row r="809" ht="12.75" customHeight="1">
      <c r="C809" s="71"/>
      <c r="D809" s="102"/>
      <c r="E809" s="3">
        <v>742.0</v>
      </c>
      <c r="F809" s="72"/>
      <c r="H809" s="13"/>
      <c r="I809" s="10" t="s">
        <v>156</v>
      </c>
    </row>
    <row r="810" ht="12.75" customHeight="1">
      <c r="C810" s="71"/>
      <c r="D810" s="102"/>
      <c r="E810" s="3">
        <v>743.0</v>
      </c>
      <c r="F810" s="72"/>
      <c r="H810" s="13"/>
      <c r="I810" s="10" t="s">
        <v>156</v>
      </c>
    </row>
    <row r="811" ht="12.75" customHeight="1">
      <c r="C811" s="71"/>
      <c r="D811" s="102"/>
      <c r="E811" s="3">
        <v>744.0</v>
      </c>
      <c r="F811" s="72"/>
      <c r="H811" s="13"/>
      <c r="I811" s="10" t="s">
        <v>156</v>
      </c>
    </row>
    <row r="812" ht="12.75" customHeight="1">
      <c r="C812" s="71"/>
      <c r="D812" s="102"/>
      <c r="E812" s="3">
        <v>745.0</v>
      </c>
      <c r="F812" s="72"/>
      <c r="H812" s="13"/>
      <c r="I812" s="10" t="s">
        <v>156</v>
      </c>
    </row>
    <row r="813" ht="12.75" customHeight="1">
      <c r="C813" s="71"/>
      <c r="D813" s="102"/>
      <c r="E813" s="3">
        <v>746.0</v>
      </c>
      <c r="F813" s="72"/>
      <c r="H813" s="13"/>
      <c r="I813" s="10" t="s">
        <v>156</v>
      </c>
    </row>
    <row r="814" ht="12.75" customHeight="1">
      <c r="C814" s="71"/>
      <c r="D814" s="102"/>
      <c r="E814" s="3">
        <v>747.0</v>
      </c>
      <c r="F814" s="72"/>
      <c r="H814" s="13"/>
      <c r="I814" s="10" t="s">
        <v>156</v>
      </c>
    </row>
    <row r="815" ht="12.75" customHeight="1">
      <c r="C815" s="71"/>
      <c r="D815" s="102"/>
      <c r="E815" s="3">
        <v>748.0</v>
      </c>
      <c r="F815" s="72"/>
      <c r="H815" s="13"/>
      <c r="I815" s="10" t="s">
        <v>156</v>
      </c>
    </row>
    <row r="816" ht="12.75" customHeight="1">
      <c r="C816" s="71"/>
      <c r="D816" s="102"/>
      <c r="E816" s="3">
        <v>749.0</v>
      </c>
      <c r="F816" s="72"/>
      <c r="H816" s="13"/>
      <c r="I816" s="10" t="s">
        <v>156</v>
      </c>
    </row>
    <row r="817" ht="12.75" customHeight="1">
      <c r="C817" s="71"/>
      <c r="D817" s="102"/>
      <c r="E817" s="3">
        <v>750.0</v>
      </c>
      <c r="F817" s="72"/>
      <c r="H817" s="13"/>
      <c r="I817" s="10" t="s">
        <v>156</v>
      </c>
    </row>
    <row r="818" ht="12.75" customHeight="1">
      <c r="C818" s="71"/>
      <c r="D818" s="102"/>
      <c r="E818" s="3">
        <v>751.0</v>
      </c>
      <c r="F818" s="72"/>
      <c r="H818" s="13"/>
      <c r="I818" s="10" t="s">
        <v>156</v>
      </c>
    </row>
    <row r="819" ht="12.75" customHeight="1">
      <c r="C819" s="71"/>
      <c r="D819" s="102"/>
      <c r="E819" s="3">
        <v>752.0</v>
      </c>
      <c r="F819" s="72"/>
      <c r="H819" s="13"/>
      <c r="I819" s="10" t="s">
        <v>156</v>
      </c>
    </row>
    <row r="820" ht="12.75" customHeight="1">
      <c r="C820" s="71"/>
      <c r="D820" s="102"/>
      <c r="E820" s="3">
        <v>753.0</v>
      </c>
      <c r="F820" s="72"/>
      <c r="H820" s="13"/>
      <c r="I820" s="10" t="s">
        <v>156</v>
      </c>
    </row>
    <row r="821" ht="12.75" customHeight="1">
      <c r="C821" s="71"/>
      <c r="D821" s="102"/>
      <c r="E821" s="3">
        <v>754.0</v>
      </c>
      <c r="F821" s="72"/>
      <c r="H821" s="13"/>
      <c r="I821" s="10" t="s">
        <v>156</v>
      </c>
    </row>
    <row r="822" ht="12.75" customHeight="1">
      <c r="C822" s="71"/>
      <c r="D822" s="102"/>
      <c r="E822" s="3">
        <v>755.0</v>
      </c>
      <c r="F822" s="72"/>
      <c r="H822" s="13"/>
      <c r="I822" s="10" t="s">
        <v>156</v>
      </c>
    </row>
    <row r="823" ht="12.75" customHeight="1">
      <c r="C823" s="71"/>
      <c r="D823" s="102"/>
      <c r="E823" s="3">
        <v>756.0</v>
      </c>
      <c r="F823" s="72"/>
      <c r="H823" s="13"/>
      <c r="I823" s="10" t="s">
        <v>156</v>
      </c>
    </row>
    <row r="824" ht="12.75" customHeight="1">
      <c r="C824" s="71"/>
      <c r="D824" s="102"/>
      <c r="E824" s="3">
        <v>757.0</v>
      </c>
      <c r="F824" s="72"/>
      <c r="H824" s="13"/>
      <c r="I824" s="10" t="s">
        <v>156</v>
      </c>
    </row>
    <row r="825" ht="12.75" customHeight="1">
      <c r="C825" s="71"/>
      <c r="D825" s="102"/>
      <c r="E825" s="3">
        <v>758.0</v>
      </c>
      <c r="F825" s="72"/>
      <c r="H825" s="13"/>
      <c r="I825" s="10" t="s">
        <v>156</v>
      </c>
    </row>
    <row r="826" ht="12.75" customHeight="1">
      <c r="C826" s="71"/>
      <c r="D826" s="102"/>
      <c r="E826" s="3">
        <v>759.0</v>
      </c>
      <c r="F826" s="72"/>
      <c r="H826" s="13"/>
      <c r="I826" s="10" t="s">
        <v>156</v>
      </c>
    </row>
    <row r="827" ht="12.75" customHeight="1">
      <c r="C827" s="71"/>
      <c r="D827" s="102"/>
      <c r="E827" s="3">
        <v>760.0</v>
      </c>
      <c r="F827" s="72"/>
      <c r="H827" s="13"/>
      <c r="I827" s="10" t="s">
        <v>156</v>
      </c>
    </row>
    <row r="828" ht="12.75" customHeight="1">
      <c r="C828" s="71"/>
      <c r="D828" s="102"/>
      <c r="F828" s="72"/>
      <c r="H828" s="13"/>
    </row>
    <row r="829" ht="12.75" customHeight="1">
      <c r="C829" s="71"/>
      <c r="D829" s="102"/>
      <c r="F829" s="72"/>
      <c r="H829" s="13"/>
    </row>
    <row r="830" ht="12.75" customHeight="1">
      <c r="C830" s="71"/>
      <c r="D830" s="102"/>
      <c r="F830" s="72"/>
      <c r="H830" s="13"/>
    </row>
    <row r="831" ht="12.75" customHeight="1">
      <c r="C831" s="71"/>
      <c r="D831" s="102"/>
      <c r="F831" s="72"/>
      <c r="H831" s="13"/>
    </row>
    <row r="832" ht="12.75" customHeight="1">
      <c r="C832" s="71"/>
      <c r="D832" s="102"/>
      <c r="F832" s="72"/>
      <c r="H832" s="13"/>
    </row>
    <row r="833" ht="12.75" customHeight="1">
      <c r="C833" s="71"/>
      <c r="D833" s="102"/>
      <c r="F833" s="72"/>
      <c r="H833" s="13"/>
    </row>
    <row r="834" ht="12.75" customHeight="1">
      <c r="C834" s="71"/>
      <c r="D834" s="102"/>
      <c r="F834" s="72"/>
      <c r="H834" s="13"/>
    </row>
    <row r="835" ht="12.75" customHeight="1">
      <c r="C835" s="71"/>
      <c r="D835" s="102"/>
      <c r="F835" s="72"/>
      <c r="H835" s="13"/>
    </row>
    <row r="836" ht="12.75" customHeight="1">
      <c r="C836" s="71"/>
      <c r="D836" s="102"/>
      <c r="F836" s="72"/>
      <c r="H836" s="13"/>
    </row>
    <row r="837" ht="12.75" customHeight="1">
      <c r="C837" s="71"/>
      <c r="D837" s="102"/>
      <c r="F837" s="72"/>
      <c r="H837" s="13"/>
    </row>
    <row r="838" ht="12.75" customHeight="1">
      <c r="C838" s="71"/>
      <c r="D838" s="102"/>
      <c r="F838" s="72"/>
      <c r="H838" s="13"/>
    </row>
    <row r="839" ht="12.75" customHeight="1">
      <c r="C839" s="71"/>
      <c r="D839" s="102"/>
      <c r="F839" s="72"/>
      <c r="H839" s="13"/>
    </row>
    <row r="840" ht="12.75" customHeight="1">
      <c r="C840" s="71"/>
      <c r="D840" s="102"/>
      <c r="F840" s="72"/>
      <c r="H840" s="13"/>
    </row>
    <row r="841" ht="12.75" customHeight="1">
      <c r="C841" s="71"/>
      <c r="D841" s="102"/>
      <c r="F841" s="72"/>
      <c r="H841" s="13"/>
    </row>
    <row r="842" ht="12.75" customHeight="1">
      <c r="C842" s="71"/>
      <c r="D842" s="102"/>
      <c r="F842" s="72"/>
      <c r="H842" s="13"/>
    </row>
    <row r="843" ht="12.75" customHeight="1">
      <c r="C843" s="71"/>
      <c r="D843" s="102"/>
      <c r="F843" s="72"/>
      <c r="H843" s="13"/>
    </row>
    <row r="844" ht="12.75" customHeight="1">
      <c r="C844" s="71"/>
      <c r="D844" s="102"/>
      <c r="F844" s="72"/>
      <c r="H844" s="13"/>
    </row>
    <row r="845" ht="12.75" customHeight="1">
      <c r="C845" s="71"/>
      <c r="D845" s="102"/>
      <c r="F845" s="72"/>
      <c r="H845" s="13"/>
    </row>
    <row r="846" ht="12.75" customHeight="1">
      <c r="C846" s="71"/>
      <c r="D846" s="102"/>
      <c r="F846" s="72"/>
      <c r="H846" s="13"/>
    </row>
    <row r="847" ht="12.75" customHeight="1">
      <c r="C847" s="71"/>
      <c r="D847" s="102"/>
      <c r="F847" s="72"/>
      <c r="H847" s="13"/>
    </row>
    <row r="848" ht="12.75" customHeight="1">
      <c r="C848" s="71"/>
      <c r="D848" s="102"/>
      <c r="F848" s="72"/>
      <c r="H848" s="13"/>
    </row>
    <row r="849" ht="12.75" customHeight="1">
      <c r="C849" s="71"/>
      <c r="D849" s="102"/>
      <c r="F849" s="72"/>
      <c r="H849" s="13"/>
    </row>
    <row r="850" ht="12.75" customHeight="1">
      <c r="C850" s="71"/>
      <c r="D850" s="102"/>
      <c r="F850" s="72"/>
      <c r="H850" s="13"/>
    </row>
    <row r="851" ht="12.75" customHeight="1">
      <c r="C851" s="71"/>
      <c r="D851" s="102"/>
      <c r="F851" s="72"/>
      <c r="H851" s="13"/>
    </row>
    <row r="852" ht="12.75" customHeight="1">
      <c r="C852" s="71"/>
      <c r="D852" s="102"/>
      <c r="F852" s="72"/>
      <c r="H852" s="13"/>
    </row>
    <row r="853" ht="12.75" customHeight="1">
      <c r="C853" s="71"/>
      <c r="D853" s="102"/>
      <c r="F853" s="72"/>
      <c r="H853" s="13"/>
    </row>
    <row r="854" ht="12.75" customHeight="1">
      <c r="C854" s="71"/>
      <c r="D854" s="102"/>
      <c r="F854" s="72"/>
      <c r="H854" s="13"/>
    </row>
    <row r="855" ht="12.75" customHeight="1">
      <c r="C855" s="71"/>
      <c r="D855" s="102"/>
      <c r="F855" s="72"/>
      <c r="H855" s="13"/>
    </row>
    <row r="856" ht="12.75" customHeight="1">
      <c r="C856" s="71"/>
      <c r="D856" s="102"/>
      <c r="F856" s="72"/>
      <c r="H856" s="13"/>
    </row>
    <row r="857" ht="12.75" customHeight="1">
      <c r="C857" s="71"/>
      <c r="D857" s="102"/>
      <c r="F857" s="72"/>
      <c r="H857" s="13"/>
    </row>
    <row r="858" ht="12.75" customHeight="1">
      <c r="C858" s="71"/>
      <c r="D858" s="102"/>
      <c r="F858" s="72"/>
      <c r="H858" s="13"/>
    </row>
    <row r="859" ht="12.75" customHeight="1">
      <c r="C859" s="71"/>
      <c r="D859" s="102"/>
      <c r="F859" s="72"/>
      <c r="H859" s="13"/>
    </row>
    <row r="860" ht="12.75" customHeight="1">
      <c r="C860" s="71"/>
      <c r="D860" s="102"/>
      <c r="F860" s="72"/>
      <c r="H860" s="13"/>
    </row>
    <row r="861" ht="12.75" customHeight="1">
      <c r="C861" s="71"/>
      <c r="D861" s="102"/>
      <c r="F861" s="72"/>
      <c r="H861" s="13"/>
    </row>
    <row r="862" ht="12.75" customHeight="1">
      <c r="C862" s="71"/>
      <c r="D862" s="102"/>
      <c r="F862" s="72"/>
      <c r="H862" s="13"/>
    </row>
    <row r="863" ht="12.75" customHeight="1">
      <c r="C863" s="71"/>
      <c r="D863" s="102"/>
      <c r="F863" s="72"/>
      <c r="H863" s="13"/>
    </row>
    <row r="864" ht="12.75" customHeight="1">
      <c r="C864" s="71"/>
      <c r="D864" s="102"/>
      <c r="F864" s="72"/>
      <c r="H864" s="13"/>
    </row>
    <row r="865" ht="12.75" customHeight="1">
      <c r="C865" s="71"/>
      <c r="D865" s="102"/>
      <c r="F865" s="72"/>
      <c r="H865" s="13"/>
    </row>
    <row r="866" ht="12.75" customHeight="1">
      <c r="C866" s="71"/>
      <c r="D866" s="102"/>
      <c r="F866" s="72"/>
      <c r="H866" s="13"/>
    </row>
    <row r="867" ht="12.75" customHeight="1">
      <c r="C867" s="71"/>
      <c r="D867" s="102"/>
      <c r="F867" s="72"/>
      <c r="H867" s="13"/>
    </row>
    <row r="868" ht="12.75" customHeight="1">
      <c r="C868" s="71"/>
      <c r="D868" s="102"/>
      <c r="F868" s="72"/>
      <c r="H868" s="13"/>
    </row>
    <row r="869" ht="12.75" customHeight="1">
      <c r="C869" s="71"/>
      <c r="D869" s="102"/>
      <c r="F869" s="72"/>
      <c r="H869" s="13"/>
    </row>
    <row r="870" ht="12.75" customHeight="1">
      <c r="C870" s="71"/>
      <c r="D870" s="102"/>
      <c r="F870" s="72"/>
      <c r="H870" s="13"/>
    </row>
    <row r="871" ht="12.75" customHeight="1">
      <c r="C871" s="71"/>
      <c r="D871" s="102"/>
      <c r="F871" s="72"/>
      <c r="H871" s="13"/>
    </row>
    <row r="872" ht="12.75" customHeight="1">
      <c r="C872" s="71"/>
      <c r="D872" s="102"/>
      <c r="F872" s="72"/>
      <c r="H872" s="13"/>
    </row>
    <row r="873" ht="12.75" customHeight="1">
      <c r="C873" s="71"/>
      <c r="D873" s="102"/>
      <c r="F873" s="72"/>
      <c r="H873" s="13"/>
    </row>
    <row r="874" ht="12.75" customHeight="1">
      <c r="C874" s="71"/>
      <c r="D874" s="102"/>
      <c r="F874" s="72"/>
      <c r="H874" s="13"/>
    </row>
    <row r="875" ht="12.75" customHeight="1">
      <c r="C875" s="71"/>
      <c r="D875" s="102"/>
      <c r="F875" s="72"/>
      <c r="H875" s="13"/>
    </row>
    <row r="876" ht="12.75" customHeight="1">
      <c r="C876" s="71"/>
      <c r="D876" s="102"/>
      <c r="F876" s="72"/>
      <c r="H876" s="13"/>
    </row>
    <row r="877" ht="12.75" customHeight="1">
      <c r="C877" s="71"/>
      <c r="D877" s="102"/>
      <c r="F877" s="72"/>
      <c r="H877" s="13"/>
    </row>
    <row r="878" ht="12.75" customHeight="1">
      <c r="C878" s="71"/>
      <c r="D878" s="102"/>
      <c r="F878" s="72"/>
      <c r="H878" s="13"/>
    </row>
    <row r="879" ht="12.75" customHeight="1">
      <c r="C879" s="71"/>
      <c r="D879" s="102"/>
      <c r="F879" s="72"/>
      <c r="H879" s="13"/>
    </row>
    <row r="880" ht="12.75" customHeight="1">
      <c r="C880" s="71"/>
      <c r="D880" s="102"/>
      <c r="F880" s="72"/>
      <c r="H880" s="13"/>
    </row>
    <row r="881" ht="12.75" customHeight="1">
      <c r="C881" s="71"/>
      <c r="D881" s="102"/>
      <c r="F881" s="72"/>
      <c r="H881" s="13"/>
    </row>
    <row r="882" ht="12.75" customHeight="1">
      <c r="C882" s="71"/>
      <c r="D882" s="102"/>
      <c r="F882" s="72"/>
      <c r="H882" s="13"/>
    </row>
    <row r="883" ht="12.75" customHeight="1">
      <c r="C883" s="71"/>
      <c r="D883" s="102"/>
      <c r="F883" s="72"/>
      <c r="H883" s="13"/>
    </row>
    <row r="884" ht="12.75" customHeight="1">
      <c r="C884" s="71"/>
      <c r="D884" s="102"/>
      <c r="F884" s="72"/>
      <c r="H884" s="13"/>
    </row>
    <row r="885" ht="12.75" customHeight="1">
      <c r="C885" s="71"/>
      <c r="D885" s="102"/>
      <c r="F885" s="72"/>
      <c r="H885" s="13"/>
    </row>
    <row r="886" ht="12.75" customHeight="1">
      <c r="C886" s="71"/>
      <c r="D886" s="102"/>
      <c r="F886" s="72"/>
      <c r="H886" s="13"/>
    </row>
    <row r="887" ht="12.75" customHeight="1">
      <c r="C887" s="71"/>
      <c r="D887" s="102"/>
      <c r="F887" s="72"/>
      <c r="H887" s="13"/>
    </row>
    <row r="888" ht="12.75" customHeight="1">
      <c r="C888" s="71"/>
      <c r="D888" s="102"/>
      <c r="F888" s="72"/>
      <c r="H888" s="13"/>
    </row>
    <row r="889" ht="12.75" customHeight="1">
      <c r="C889" s="71"/>
      <c r="D889" s="102"/>
      <c r="F889" s="72"/>
      <c r="H889" s="13"/>
    </row>
    <row r="890" ht="12.75" customHeight="1">
      <c r="C890" s="71"/>
      <c r="D890" s="102"/>
      <c r="F890" s="72"/>
      <c r="H890" s="13"/>
    </row>
    <row r="891" ht="12.75" customHeight="1">
      <c r="C891" s="71"/>
      <c r="D891" s="102"/>
      <c r="F891" s="72"/>
      <c r="H891" s="13"/>
    </row>
    <row r="892" ht="12.75" customHeight="1">
      <c r="C892" s="71"/>
      <c r="D892" s="102"/>
      <c r="F892" s="72"/>
      <c r="H892" s="13"/>
    </row>
    <row r="893" ht="12.75" customHeight="1">
      <c r="C893" s="71"/>
      <c r="D893" s="102"/>
      <c r="F893" s="72"/>
      <c r="H893" s="13"/>
    </row>
    <row r="894" ht="12.75" customHeight="1">
      <c r="C894" s="71"/>
      <c r="D894" s="102"/>
      <c r="F894" s="72"/>
      <c r="H894" s="13"/>
    </row>
    <row r="895" ht="12.75" customHeight="1">
      <c r="C895" s="71"/>
      <c r="D895" s="102"/>
      <c r="F895" s="72"/>
      <c r="H895" s="13"/>
    </row>
    <row r="896" ht="12.75" customHeight="1">
      <c r="C896" s="71"/>
      <c r="D896" s="102"/>
      <c r="F896" s="72"/>
      <c r="H896" s="13"/>
    </row>
    <row r="897" ht="12.75" customHeight="1">
      <c r="C897" s="71"/>
      <c r="D897" s="102"/>
      <c r="F897" s="72"/>
      <c r="H897" s="13"/>
    </row>
    <row r="898" ht="12.75" customHeight="1">
      <c r="C898" s="71"/>
      <c r="D898" s="102"/>
      <c r="F898" s="72"/>
      <c r="H898" s="13"/>
    </row>
    <row r="899" ht="12.75" customHeight="1">
      <c r="C899" s="71"/>
      <c r="D899" s="102"/>
      <c r="F899" s="72"/>
      <c r="H899" s="13"/>
    </row>
    <row r="900" ht="12.75" customHeight="1">
      <c r="C900" s="71"/>
      <c r="D900" s="102"/>
      <c r="F900" s="72"/>
      <c r="H900" s="13"/>
    </row>
    <row r="901" ht="12.75" customHeight="1">
      <c r="C901" s="71"/>
      <c r="D901" s="102"/>
      <c r="F901" s="72"/>
      <c r="H901" s="13"/>
    </row>
    <row r="902" ht="12.75" customHeight="1">
      <c r="C902" s="71"/>
      <c r="D902" s="102"/>
      <c r="F902" s="72"/>
      <c r="H902" s="13"/>
    </row>
    <row r="903" ht="12.75" customHeight="1">
      <c r="C903" s="71"/>
      <c r="D903" s="102"/>
      <c r="F903" s="72"/>
      <c r="H903" s="13"/>
    </row>
    <row r="904" ht="12.75" customHeight="1">
      <c r="C904" s="71"/>
      <c r="D904" s="102"/>
      <c r="F904" s="72"/>
      <c r="H904" s="13"/>
    </row>
    <row r="905" ht="12.75" customHeight="1">
      <c r="C905" s="71"/>
      <c r="D905" s="102"/>
      <c r="F905" s="72"/>
      <c r="H905" s="13"/>
    </row>
    <row r="906" ht="12.75" customHeight="1">
      <c r="C906" s="71"/>
      <c r="D906" s="102"/>
      <c r="F906" s="72"/>
      <c r="H906" s="13"/>
    </row>
    <row r="907" ht="12.75" customHeight="1">
      <c r="C907" s="71"/>
      <c r="D907" s="102"/>
      <c r="F907" s="72"/>
      <c r="H907" s="13"/>
    </row>
    <row r="908" ht="12.75" customHeight="1">
      <c r="C908" s="71"/>
      <c r="D908" s="102"/>
      <c r="F908" s="72"/>
      <c r="H908" s="13"/>
    </row>
    <row r="909" ht="12.75" customHeight="1">
      <c r="C909" s="71"/>
      <c r="D909" s="102"/>
      <c r="F909" s="72"/>
      <c r="H909" s="13"/>
    </row>
    <row r="910" ht="12.75" customHeight="1">
      <c r="C910" s="71"/>
      <c r="D910" s="102"/>
      <c r="F910" s="72"/>
      <c r="H910" s="13"/>
    </row>
    <row r="911" ht="12.75" customHeight="1">
      <c r="C911" s="71"/>
      <c r="D911" s="102"/>
      <c r="F911" s="72"/>
      <c r="H911" s="13"/>
    </row>
    <row r="912" ht="12.75" customHeight="1">
      <c r="C912" s="71"/>
      <c r="D912" s="102"/>
      <c r="F912" s="72"/>
      <c r="H912" s="13"/>
    </row>
    <row r="913" ht="12.75" customHeight="1">
      <c r="C913" s="71"/>
      <c r="D913" s="102"/>
      <c r="F913" s="72"/>
      <c r="H913" s="13"/>
    </row>
    <row r="914" ht="12.75" customHeight="1">
      <c r="C914" s="71"/>
      <c r="D914" s="102"/>
      <c r="F914" s="72"/>
      <c r="H914" s="13"/>
    </row>
    <row r="915" ht="12.75" customHeight="1">
      <c r="C915" s="71"/>
      <c r="D915" s="102"/>
      <c r="F915" s="72"/>
      <c r="H915" s="13"/>
    </row>
    <row r="916" ht="12.75" customHeight="1">
      <c r="C916" s="71"/>
      <c r="D916" s="102"/>
      <c r="F916" s="72"/>
      <c r="H916" s="13"/>
    </row>
    <row r="917" ht="12.75" customHeight="1">
      <c r="C917" s="71"/>
      <c r="D917" s="102"/>
      <c r="F917" s="72"/>
      <c r="H917" s="13"/>
    </row>
    <row r="918" ht="12.75" customHeight="1">
      <c r="C918" s="71"/>
      <c r="D918" s="102"/>
      <c r="F918" s="72"/>
      <c r="H918" s="13"/>
    </row>
    <row r="919" ht="12.75" customHeight="1">
      <c r="C919" s="71"/>
      <c r="D919" s="102"/>
      <c r="F919" s="72"/>
      <c r="H919" s="13"/>
    </row>
    <row r="920" ht="12.75" customHeight="1">
      <c r="C920" s="71"/>
      <c r="D920" s="102"/>
      <c r="F920" s="72"/>
      <c r="H920" s="13"/>
    </row>
    <row r="921" ht="12.75" customHeight="1">
      <c r="C921" s="71"/>
      <c r="D921" s="102"/>
      <c r="F921" s="72"/>
      <c r="H921" s="13"/>
    </row>
    <row r="922" ht="12.75" customHeight="1">
      <c r="C922" s="71"/>
      <c r="D922" s="102"/>
      <c r="F922" s="72"/>
      <c r="H922" s="13"/>
    </row>
    <row r="923" ht="12.75" customHeight="1">
      <c r="C923" s="71"/>
      <c r="D923" s="102"/>
      <c r="F923" s="72"/>
      <c r="H923" s="13"/>
    </row>
    <row r="924" ht="12.75" customHeight="1">
      <c r="C924" s="71"/>
      <c r="D924" s="102"/>
      <c r="F924" s="72"/>
      <c r="H924" s="13"/>
    </row>
    <row r="925" ht="12.75" customHeight="1">
      <c r="C925" s="71"/>
      <c r="D925" s="102"/>
      <c r="F925" s="72"/>
      <c r="H925" s="13"/>
    </row>
    <row r="926" ht="12.75" customHeight="1">
      <c r="C926" s="71"/>
      <c r="D926" s="102"/>
      <c r="F926" s="72"/>
      <c r="H926" s="13"/>
    </row>
    <row r="927" ht="12.75" customHeight="1">
      <c r="C927" s="71"/>
      <c r="D927" s="102"/>
      <c r="F927" s="72"/>
      <c r="H927" s="13"/>
    </row>
    <row r="928" ht="12.75" customHeight="1">
      <c r="C928" s="71"/>
      <c r="D928" s="102"/>
      <c r="F928" s="72"/>
      <c r="H928" s="13"/>
    </row>
    <row r="929" ht="12.75" customHeight="1">
      <c r="C929" s="71"/>
      <c r="D929" s="102"/>
      <c r="F929" s="72"/>
      <c r="H929" s="13"/>
    </row>
    <row r="930" ht="12.75" customHeight="1">
      <c r="C930" s="71"/>
      <c r="D930" s="102"/>
      <c r="F930" s="72"/>
      <c r="H930" s="13"/>
    </row>
    <row r="931" ht="12.75" customHeight="1">
      <c r="C931" s="71"/>
      <c r="D931" s="102"/>
      <c r="F931" s="72"/>
      <c r="H931" s="13"/>
    </row>
    <row r="932" ht="12.75" customHeight="1">
      <c r="C932" s="71"/>
      <c r="D932" s="102"/>
      <c r="F932" s="72"/>
      <c r="H932" s="13"/>
    </row>
    <row r="933" ht="12.75" customHeight="1">
      <c r="C933" s="71"/>
      <c r="D933" s="102"/>
      <c r="F933" s="72"/>
      <c r="H933" s="13"/>
    </row>
    <row r="934" ht="12.75" customHeight="1">
      <c r="C934" s="71"/>
      <c r="D934" s="102"/>
      <c r="F934" s="72"/>
      <c r="H934" s="13"/>
    </row>
    <row r="935" ht="12.75" customHeight="1">
      <c r="C935" s="71"/>
      <c r="D935" s="102"/>
      <c r="F935" s="72"/>
      <c r="H935" s="13"/>
    </row>
    <row r="936" ht="12.75" customHeight="1">
      <c r="C936" s="71"/>
      <c r="D936" s="102"/>
      <c r="F936" s="72"/>
      <c r="H936" s="13"/>
    </row>
    <row r="937" ht="12.75" customHeight="1">
      <c r="C937" s="71"/>
      <c r="D937" s="102"/>
      <c r="F937" s="72"/>
      <c r="H937" s="13"/>
    </row>
    <row r="938" ht="12.75" customHeight="1">
      <c r="C938" s="71"/>
      <c r="D938" s="102"/>
      <c r="F938" s="72"/>
      <c r="H938" s="13"/>
    </row>
    <row r="939" ht="12.75" customHeight="1">
      <c r="C939" s="71"/>
      <c r="D939" s="102"/>
      <c r="F939" s="72"/>
      <c r="H939" s="13"/>
    </row>
    <row r="940" ht="12.75" customHeight="1">
      <c r="C940" s="71"/>
      <c r="D940" s="102"/>
      <c r="F940" s="72"/>
      <c r="H940" s="13"/>
    </row>
    <row r="941" ht="12.75" customHeight="1">
      <c r="C941" s="71"/>
      <c r="D941" s="102"/>
      <c r="F941" s="72"/>
      <c r="H941" s="13"/>
    </row>
    <row r="942" ht="12.75" customHeight="1">
      <c r="C942" s="71"/>
      <c r="D942" s="102"/>
      <c r="F942" s="72"/>
      <c r="H942" s="13"/>
    </row>
    <row r="943" ht="12.75" customHeight="1">
      <c r="C943" s="71"/>
      <c r="D943" s="102"/>
      <c r="F943" s="72"/>
      <c r="H943" s="13"/>
    </row>
    <row r="944" ht="12.75" customHeight="1">
      <c r="C944" s="71"/>
      <c r="D944" s="102"/>
      <c r="F944" s="72"/>
      <c r="H944" s="13"/>
    </row>
    <row r="945" ht="12.75" customHeight="1">
      <c r="C945" s="71"/>
      <c r="D945" s="102"/>
      <c r="F945" s="72"/>
      <c r="H945" s="13"/>
    </row>
    <row r="946" ht="12.75" customHeight="1">
      <c r="C946" s="71"/>
      <c r="D946" s="102"/>
      <c r="F946" s="72"/>
      <c r="H946" s="13"/>
    </row>
    <row r="947" ht="12.75" customHeight="1">
      <c r="C947" s="71"/>
      <c r="D947" s="102"/>
      <c r="F947" s="72"/>
      <c r="H947" s="13"/>
    </row>
    <row r="948" ht="12.75" customHeight="1">
      <c r="C948" s="71"/>
      <c r="D948" s="102"/>
      <c r="F948" s="72"/>
      <c r="H948" s="13"/>
    </row>
    <row r="949" ht="12.75" customHeight="1">
      <c r="C949" s="71"/>
      <c r="D949" s="102"/>
      <c r="F949" s="72"/>
      <c r="H949" s="13"/>
    </row>
    <row r="950" ht="12.75" customHeight="1">
      <c r="C950" s="71"/>
      <c r="D950" s="102"/>
      <c r="F950" s="72"/>
      <c r="H950" s="13"/>
    </row>
    <row r="951" ht="12.75" customHeight="1">
      <c r="C951" s="71"/>
      <c r="D951" s="102"/>
      <c r="F951" s="72"/>
      <c r="H951" s="13"/>
    </row>
    <row r="952" ht="12.75" customHeight="1">
      <c r="C952" s="71"/>
      <c r="D952" s="102"/>
      <c r="F952" s="72"/>
      <c r="H952" s="13"/>
    </row>
    <row r="953" ht="12.75" customHeight="1">
      <c r="C953" s="71"/>
      <c r="D953" s="102"/>
      <c r="F953" s="72"/>
      <c r="H953" s="13"/>
    </row>
    <row r="954" ht="12.75" customHeight="1">
      <c r="C954" s="71"/>
      <c r="D954" s="102"/>
      <c r="F954" s="72"/>
      <c r="H954" s="13"/>
    </row>
    <row r="955" ht="12.75" customHeight="1">
      <c r="C955" s="71"/>
      <c r="D955" s="102"/>
      <c r="F955" s="72"/>
      <c r="H955" s="13"/>
    </row>
    <row r="956" ht="12.75" customHeight="1">
      <c r="C956" s="71"/>
      <c r="D956" s="102"/>
      <c r="F956" s="72"/>
      <c r="H956" s="13"/>
    </row>
    <row r="957" ht="12.75" customHeight="1">
      <c r="C957" s="71"/>
      <c r="D957" s="102"/>
      <c r="F957" s="72"/>
      <c r="H957" s="13"/>
    </row>
    <row r="958" ht="12.75" customHeight="1">
      <c r="C958" s="71"/>
      <c r="D958" s="102"/>
      <c r="F958" s="72"/>
      <c r="H958" s="13"/>
    </row>
    <row r="959" ht="12.75" customHeight="1">
      <c r="C959" s="71"/>
      <c r="D959" s="102"/>
      <c r="F959" s="72"/>
      <c r="H959" s="13"/>
    </row>
    <row r="960" ht="12.75" customHeight="1">
      <c r="C960" s="71"/>
      <c r="D960" s="102"/>
      <c r="F960" s="72"/>
      <c r="H960" s="13"/>
    </row>
    <row r="961" ht="12.75" customHeight="1">
      <c r="C961" s="71"/>
      <c r="D961" s="102"/>
      <c r="F961" s="72"/>
      <c r="H961" s="13"/>
    </row>
    <row r="962" ht="12.75" customHeight="1">
      <c r="C962" s="71"/>
      <c r="D962" s="102"/>
      <c r="F962" s="72"/>
      <c r="H962" s="13"/>
    </row>
    <row r="963" ht="12.75" customHeight="1">
      <c r="C963" s="71"/>
      <c r="D963" s="102"/>
      <c r="F963" s="72"/>
      <c r="H963" s="13"/>
    </row>
    <row r="964" ht="12.75" customHeight="1">
      <c r="C964" s="71"/>
      <c r="D964" s="102"/>
      <c r="F964" s="72"/>
      <c r="H964" s="13"/>
    </row>
    <row r="965" ht="12.75" customHeight="1">
      <c r="C965" s="71"/>
      <c r="D965" s="102"/>
      <c r="F965" s="72"/>
      <c r="H965" s="13"/>
    </row>
    <row r="966" ht="12.75" customHeight="1">
      <c r="C966" s="71"/>
      <c r="D966" s="102"/>
      <c r="F966" s="72"/>
      <c r="H966" s="13"/>
    </row>
    <row r="967" ht="12.75" customHeight="1">
      <c r="C967" s="71"/>
      <c r="D967" s="102"/>
      <c r="F967" s="72"/>
      <c r="H967" s="13"/>
    </row>
    <row r="968" ht="12.75" customHeight="1">
      <c r="C968" s="71"/>
      <c r="D968" s="102"/>
      <c r="F968" s="72"/>
      <c r="H968" s="13"/>
    </row>
    <row r="969" ht="12.75" customHeight="1">
      <c r="C969" s="71"/>
      <c r="D969" s="102"/>
      <c r="F969" s="72"/>
      <c r="H969" s="13"/>
    </row>
    <row r="970" ht="12.75" customHeight="1">
      <c r="C970" s="71"/>
      <c r="D970" s="102"/>
      <c r="F970" s="72"/>
      <c r="H970" s="13"/>
    </row>
    <row r="971" ht="12.75" customHeight="1">
      <c r="C971" s="71"/>
      <c r="D971" s="102"/>
      <c r="F971" s="72"/>
      <c r="H971" s="13"/>
    </row>
    <row r="972" ht="12.75" customHeight="1">
      <c r="C972" s="71"/>
      <c r="D972" s="102"/>
      <c r="F972" s="72"/>
      <c r="H972" s="13"/>
    </row>
    <row r="973" ht="12.75" customHeight="1">
      <c r="C973" s="71"/>
      <c r="D973" s="102"/>
      <c r="F973" s="72"/>
      <c r="H973" s="13"/>
    </row>
    <row r="974" ht="12.75" customHeight="1">
      <c r="C974" s="71"/>
      <c r="D974" s="102"/>
      <c r="F974" s="72"/>
      <c r="H974" s="13"/>
    </row>
    <row r="975" ht="12.75" customHeight="1">
      <c r="C975" s="71"/>
      <c r="D975" s="102"/>
      <c r="F975" s="72"/>
      <c r="H975" s="13"/>
    </row>
    <row r="976" ht="12.75" customHeight="1">
      <c r="C976" s="71"/>
      <c r="D976" s="102"/>
      <c r="F976" s="72"/>
      <c r="H976" s="13"/>
    </row>
    <row r="977" ht="12.75" customHeight="1">
      <c r="C977" s="71"/>
      <c r="D977" s="102"/>
      <c r="F977" s="72"/>
      <c r="H977" s="13"/>
    </row>
    <row r="978" ht="12.75" customHeight="1">
      <c r="C978" s="71"/>
      <c r="D978" s="102"/>
      <c r="F978" s="72"/>
      <c r="H978" s="13"/>
    </row>
    <row r="979" ht="12.75" customHeight="1">
      <c r="C979" s="71"/>
      <c r="D979" s="102"/>
      <c r="F979" s="72"/>
      <c r="H979" s="13"/>
    </row>
    <row r="980" ht="12.75" customHeight="1">
      <c r="C980" s="71"/>
      <c r="D980" s="102"/>
      <c r="F980" s="72"/>
      <c r="H980" s="13"/>
    </row>
    <row r="981" ht="12.75" customHeight="1">
      <c r="C981" s="71"/>
      <c r="D981" s="102"/>
      <c r="F981" s="72"/>
      <c r="H981" s="13"/>
    </row>
    <row r="982" ht="12.75" customHeight="1">
      <c r="C982" s="71"/>
      <c r="D982" s="102"/>
      <c r="F982" s="72"/>
      <c r="H982" s="13"/>
    </row>
    <row r="983" ht="12.75" customHeight="1">
      <c r="C983" s="71"/>
      <c r="D983" s="102"/>
      <c r="F983" s="72"/>
      <c r="H983" s="13"/>
    </row>
    <row r="984" ht="12.75" customHeight="1">
      <c r="C984" s="71"/>
      <c r="D984" s="102"/>
      <c r="F984" s="72"/>
      <c r="H984" s="13"/>
    </row>
    <row r="985" ht="12.75" customHeight="1">
      <c r="C985" s="71"/>
      <c r="D985" s="102"/>
      <c r="F985" s="72"/>
      <c r="H985" s="13"/>
    </row>
    <row r="986" ht="12.75" customHeight="1">
      <c r="C986" s="71"/>
      <c r="D986" s="102"/>
      <c r="F986" s="72"/>
      <c r="H986" s="13"/>
    </row>
    <row r="987" ht="12.75" customHeight="1">
      <c r="C987" s="71"/>
      <c r="D987" s="102"/>
      <c r="F987" s="72"/>
      <c r="H987" s="13"/>
    </row>
    <row r="988" ht="12.75" customHeight="1">
      <c r="C988" s="71"/>
      <c r="D988" s="102"/>
      <c r="F988" s="72"/>
      <c r="H988" s="13"/>
    </row>
    <row r="989" ht="12.75" customHeight="1">
      <c r="C989" s="71"/>
      <c r="D989" s="102"/>
      <c r="F989" s="72"/>
      <c r="H989" s="13"/>
    </row>
    <row r="990" ht="12.75" customHeight="1">
      <c r="C990" s="71"/>
      <c r="D990" s="102"/>
      <c r="F990" s="72"/>
      <c r="H990" s="13"/>
    </row>
    <row r="991" ht="12.75" customHeight="1">
      <c r="C991" s="71"/>
      <c r="D991" s="102"/>
      <c r="F991" s="72"/>
      <c r="H991" s="13"/>
    </row>
    <row r="992" ht="12.75" customHeight="1">
      <c r="C992" s="71"/>
      <c r="D992" s="102"/>
      <c r="F992" s="72"/>
      <c r="H992" s="13"/>
    </row>
    <row r="993" ht="12.75" customHeight="1">
      <c r="C993" s="71"/>
      <c r="D993" s="102"/>
      <c r="F993" s="72"/>
      <c r="H993" s="13"/>
    </row>
    <row r="994" ht="12.75" customHeight="1">
      <c r="C994" s="71"/>
      <c r="D994" s="102"/>
      <c r="F994" s="72"/>
      <c r="H994" s="13"/>
    </row>
    <row r="995" ht="12.75" customHeight="1">
      <c r="C995" s="71"/>
      <c r="D995" s="102"/>
      <c r="F995" s="72"/>
      <c r="H995" s="13"/>
    </row>
    <row r="996" ht="12.75" customHeight="1">
      <c r="C996" s="71"/>
      <c r="D996" s="102"/>
      <c r="F996" s="72"/>
      <c r="H996" s="13"/>
    </row>
    <row r="997" ht="12.75" customHeight="1">
      <c r="C997" s="71"/>
      <c r="D997" s="102"/>
      <c r="F997" s="72"/>
      <c r="H997" s="13"/>
    </row>
    <row r="998" ht="12.75" customHeight="1">
      <c r="C998" s="71"/>
      <c r="D998" s="102"/>
      <c r="F998" s="72"/>
      <c r="H998" s="13"/>
    </row>
    <row r="999" ht="12.75" customHeight="1">
      <c r="C999" s="71"/>
      <c r="D999" s="102"/>
      <c r="F999" s="72"/>
      <c r="H999" s="13"/>
    </row>
    <row r="1000" ht="12.75" customHeight="1">
      <c r="C1000" s="71"/>
      <c r="D1000" s="102"/>
      <c r="F1000" s="72"/>
      <c r="H1000" s="13"/>
    </row>
    <row r="1001" ht="12.75" customHeight="1">
      <c r="C1001" s="71"/>
      <c r="D1001" s="102"/>
      <c r="F1001" s="72"/>
      <c r="H1001" s="13"/>
    </row>
    <row r="1002" ht="12.75" customHeight="1">
      <c r="C1002" s="71"/>
      <c r="D1002" s="102"/>
      <c r="F1002" s="72"/>
      <c r="H1002" s="13"/>
    </row>
    <row r="1003" ht="12.75" customHeight="1">
      <c r="C1003" s="71"/>
      <c r="D1003" s="102"/>
      <c r="F1003" s="72"/>
      <c r="H1003" s="13"/>
    </row>
    <row r="1004" ht="12.75" customHeight="1">
      <c r="C1004" s="71"/>
      <c r="D1004" s="102"/>
      <c r="F1004" s="72"/>
      <c r="H1004" s="13"/>
    </row>
    <row r="1005" ht="12.75" customHeight="1">
      <c r="C1005" s="71"/>
      <c r="D1005" s="102"/>
      <c r="F1005" s="72"/>
      <c r="H1005" s="13"/>
    </row>
    <row r="1006" ht="12.75" customHeight="1">
      <c r="C1006" s="71"/>
      <c r="D1006" s="102"/>
      <c r="F1006" s="72"/>
      <c r="H1006" s="13"/>
    </row>
    <row r="1007" ht="12.75" customHeight="1">
      <c r="C1007" s="71"/>
      <c r="D1007" s="102"/>
      <c r="F1007" s="72"/>
      <c r="H1007" s="13"/>
    </row>
    <row r="1008" ht="12.75" customHeight="1">
      <c r="C1008" s="71"/>
      <c r="D1008" s="102"/>
      <c r="F1008" s="72"/>
      <c r="H1008" s="13"/>
    </row>
    <row r="1009" ht="12.75" customHeight="1">
      <c r="C1009" s="71"/>
      <c r="D1009" s="102"/>
      <c r="F1009" s="72"/>
      <c r="H1009" s="13"/>
    </row>
    <row r="1010" ht="12.75" customHeight="1">
      <c r="C1010" s="71"/>
      <c r="D1010" s="102"/>
      <c r="F1010" s="72"/>
      <c r="H1010" s="13"/>
    </row>
    <row r="1011" ht="12.75" customHeight="1">
      <c r="C1011" s="71"/>
      <c r="D1011" s="102"/>
      <c r="F1011" s="72"/>
      <c r="H1011" s="13"/>
    </row>
    <row r="1012" ht="12.75" customHeight="1">
      <c r="C1012" s="71"/>
      <c r="D1012" s="102"/>
      <c r="F1012" s="72"/>
      <c r="H1012" s="13"/>
    </row>
    <row r="1013" ht="12.75" customHeight="1">
      <c r="C1013" s="71"/>
      <c r="D1013" s="102"/>
      <c r="F1013" s="72"/>
      <c r="H1013" s="13"/>
    </row>
    <row r="1014" ht="12.75" customHeight="1">
      <c r="C1014" s="71"/>
      <c r="D1014" s="102"/>
      <c r="F1014" s="72"/>
      <c r="H1014" s="13"/>
    </row>
    <row r="1015" ht="12.75" customHeight="1">
      <c r="C1015" s="71"/>
      <c r="D1015" s="102"/>
      <c r="F1015" s="72"/>
      <c r="H1015" s="13"/>
    </row>
    <row r="1016" ht="12.75" customHeight="1">
      <c r="C1016" s="71"/>
      <c r="D1016" s="102"/>
      <c r="F1016" s="72"/>
      <c r="H1016" s="13"/>
    </row>
    <row r="1017" ht="12.75" customHeight="1">
      <c r="C1017" s="71"/>
      <c r="D1017" s="102"/>
      <c r="F1017" s="72"/>
      <c r="H1017" s="13"/>
    </row>
    <row r="1018" ht="12.75" customHeight="1">
      <c r="C1018" s="71"/>
      <c r="D1018" s="102"/>
      <c r="F1018" s="72"/>
      <c r="H1018" s="13"/>
    </row>
    <row r="1019" ht="12.75" customHeight="1">
      <c r="C1019" s="71"/>
      <c r="D1019" s="102"/>
      <c r="F1019" s="72"/>
      <c r="H1019" s="13"/>
    </row>
    <row r="1020" ht="12.75" customHeight="1">
      <c r="C1020" s="71"/>
      <c r="D1020" s="102"/>
      <c r="F1020" s="72"/>
      <c r="H1020" s="13"/>
    </row>
    <row r="1021" ht="12.75" customHeight="1">
      <c r="C1021" s="71"/>
      <c r="D1021" s="102"/>
      <c r="F1021" s="72"/>
      <c r="H1021" s="13"/>
    </row>
    <row r="1022" ht="12.75" customHeight="1">
      <c r="C1022" s="71"/>
      <c r="D1022" s="102"/>
      <c r="F1022" s="72"/>
      <c r="H1022" s="13"/>
    </row>
    <row r="1023" ht="12.75" customHeight="1">
      <c r="C1023" s="71"/>
      <c r="D1023" s="102"/>
      <c r="F1023" s="72"/>
      <c r="H1023" s="13"/>
    </row>
    <row r="1024" ht="12.75" customHeight="1">
      <c r="C1024" s="71"/>
      <c r="D1024" s="102"/>
      <c r="F1024" s="72"/>
      <c r="H1024" s="13"/>
    </row>
    <row r="1025" ht="12.75" customHeight="1">
      <c r="C1025" s="71"/>
      <c r="D1025" s="102"/>
      <c r="F1025" s="72"/>
      <c r="H1025" s="13"/>
    </row>
    <row r="1026" ht="12.75" customHeight="1">
      <c r="C1026" s="71"/>
      <c r="D1026" s="102"/>
      <c r="F1026" s="72"/>
      <c r="H1026" s="13"/>
    </row>
    <row r="1027" ht="12.75" customHeight="1">
      <c r="C1027" s="71"/>
      <c r="D1027" s="102"/>
      <c r="F1027" s="72"/>
      <c r="H1027" s="13"/>
    </row>
  </sheetData>
  <autoFilter ref="$B$2:$P$2">
    <sortState ref="B2:P2">
      <sortCondition ref="B2"/>
    </sortState>
  </autoFilter>
  <mergeCells count="1">
    <mergeCell ref="A1:P1"/>
  </mergeCells>
  <conditionalFormatting sqref="C3:O60">
    <cfRule type="cellIs" dxfId="1" priority="1" operator="equal">
      <formula>0</formula>
    </cfRule>
  </conditionalFormatting>
  <conditionalFormatting sqref="P6">
    <cfRule type="cellIs" dxfId="1" priority="2" operator="equal">
      <formula>0</formula>
    </cfRule>
  </conditionalFormatting>
  <conditionalFormatting sqref="P27">
    <cfRule type="cellIs" dxfId="1" priority="3" operator="equal">
      <formula>0</formula>
    </cfRule>
  </conditionalFormatting>
  <conditionalFormatting sqref="P33">
    <cfRule type="cellIs" dxfId="1" priority="4" operator="equal">
      <formula>0</formula>
    </cfRule>
  </conditionalFormatting>
  <conditionalFormatting sqref="P42">
    <cfRule type="containsText" dxfId="0" priority="5" operator="containsText" text="Absent">
      <formula>NOT(ISERROR(SEARCH(("Absent"),(P42))))</formula>
    </cfRule>
  </conditionalFormatting>
  <conditionalFormatting sqref="P42">
    <cfRule type="cellIs" dxfId="1" priority="6" operator="equal">
      <formula>0</formula>
    </cfRule>
  </conditionalFormatting>
  <dataValidations>
    <dataValidation type="custom" allowBlank="1" showDropDown="1" sqref="F68:F120">
      <formula1>OR(NOT(ISERROR(DATEVALUE(F68))), AND(ISNUMBER(F68), LEFT(CELL("format", F68))="D"))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25"/>
    <col customWidth="1" min="3" max="3" width="19.13"/>
  </cols>
  <sheetData>
    <row r="1">
      <c r="A1" s="117" t="s">
        <v>208</v>
      </c>
    </row>
    <row r="2">
      <c r="A2" s="76" t="s">
        <v>92</v>
      </c>
      <c r="B2" s="77" t="s">
        <v>2</v>
      </c>
      <c r="C2" s="118" t="s">
        <v>209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06"/>
    </row>
    <row r="3">
      <c r="A3" s="3">
        <v>1.0</v>
      </c>
      <c r="B3" s="13" t="s">
        <v>107</v>
      </c>
      <c r="C3" s="119">
        <v>9.690009945E9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</row>
    <row r="4">
      <c r="A4" s="3">
        <v>2.0</v>
      </c>
      <c r="B4" s="13" t="s">
        <v>66</v>
      </c>
      <c r="C4" s="119">
        <v>8.181828027E9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</row>
    <row r="5">
      <c r="A5" s="3">
        <v>3.0</v>
      </c>
      <c r="B5" s="13" t="s">
        <v>109</v>
      </c>
      <c r="C5" s="119">
        <v>7.905168891E9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</row>
    <row r="6">
      <c r="A6" s="3">
        <v>4.0</v>
      </c>
      <c r="B6" s="13" t="s">
        <v>69</v>
      </c>
      <c r="C6" s="119">
        <v>7.897235775E9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>
      <c r="A7" s="3">
        <v>5.0</v>
      </c>
      <c r="B7" s="13" t="s">
        <v>111</v>
      </c>
      <c r="C7" s="119">
        <v>8.299857692E9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>
      <c r="A8" s="3">
        <v>6.0</v>
      </c>
      <c r="B8" s="13" t="s">
        <v>112</v>
      </c>
      <c r="C8" s="119">
        <v>9.918771755E9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4"/>
    </row>
    <row r="9">
      <c r="A9" s="3">
        <v>7.0</v>
      </c>
      <c r="B9" s="10" t="s">
        <v>58</v>
      </c>
      <c r="C9" s="119">
        <v>9.044287798E9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>
      <c r="A10" s="3">
        <v>8.0</v>
      </c>
      <c r="B10" s="13" t="s">
        <v>113</v>
      </c>
      <c r="C10" s="119">
        <v>9.2609219E9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4"/>
    </row>
    <row r="11">
      <c r="A11" s="3">
        <v>9.0</v>
      </c>
      <c r="B11" s="13" t="s">
        <v>11</v>
      </c>
      <c r="C11" s="119">
        <v>9.936649911E9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</row>
    <row r="12">
      <c r="A12" s="3">
        <v>10.0</v>
      </c>
      <c r="B12" s="13" t="s">
        <v>14</v>
      </c>
      <c r="C12" s="119">
        <v>8.6047891E9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</row>
    <row r="13">
      <c r="A13" s="3">
        <v>11.0</v>
      </c>
      <c r="B13" s="13" t="s">
        <v>114</v>
      </c>
      <c r="C13" s="119">
        <v>9.415180824E9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>
      <c r="A14" s="3">
        <v>12.0</v>
      </c>
      <c r="B14" s="13" t="s">
        <v>115</v>
      </c>
      <c r="C14" s="119">
        <v>8.423067262E9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4"/>
    </row>
    <row r="15">
      <c r="A15" s="3">
        <v>13.0</v>
      </c>
      <c r="B15" s="13" t="s">
        <v>116</v>
      </c>
      <c r="C15" s="119">
        <v>8.840748349E9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>
      <c r="A16" s="3">
        <v>14.0</v>
      </c>
      <c r="B16" s="13" t="s">
        <v>117</v>
      </c>
      <c r="C16" s="119">
        <v>9.044824759E9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</row>
    <row r="17">
      <c r="A17" s="3">
        <v>15.0</v>
      </c>
      <c r="B17" s="13" t="s">
        <v>118</v>
      </c>
      <c r="C17" s="119">
        <v>7.985236752E9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4"/>
    </row>
    <row r="18">
      <c r="A18" s="3">
        <v>16.0</v>
      </c>
      <c r="B18" s="13" t="s">
        <v>63</v>
      </c>
      <c r="C18" s="119">
        <v>8.738060535E9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</row>
    <row r="19">
      <c r="A19" s="3">
        <v>17.0</v>
      </c>
      <c r="B19" s="4" t="s">
        <v>56</v>
      </c>
      <c r="C19" s="119">
        <v>9.140019698E9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>
      <c r="A20" s="3">
        <v>18.0</v>
      </c>
      <c r="B20" s="13" t="s">
        <v>119</v>
      </c>
      <c r="C20" s="119">
        <v>6.388851372E9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</row>
    <row r="21">
      <c r="A21" s="3">
        <v>19.0</v>
      </c>
      <c r="B21" s="13" t="s">
        <v>21</v>
      </c>
      <c r="C21" s="119">
        <v>8.800342162E9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>
      <c r="A22" s="3">
        <v>20.0</v>
      </c>
      <c r="B22" s="13" t="s">
        <v>120</v>
      </c>
      <c r="C22" s="120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>
      <c r="A23" s="3">
        <v>21.0</v>
      </c>
      <c r="B23" s="13" t="s">
        <v>39</v>
      </c>
      <c r="C23" s="119">
        <v>7.398855007E9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>
      <c r="A24" s="3">
        <v>22.0</v>
      </c>
      <c r="B24" s="13" t="s">
        <v>121</v>
      </c>
      <c r="C24" s="119">
        <v>9.91919226E9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4"/>
    </row>
    <row r="25">
      <c r="A25" s="3">
        <v>23.0</v>
      </c>
      <c r="B25" s="13" t="s">
        <v>122</v>
      </c>
      <c r="C25" s="119">
        <v>9.335154865E9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>
      <c r="A26" s="3">
        <v>24.0</v>
      </c>
      <c r="B26" s="10" t="s">
        <v>123</v>
      </c>
      <c r="C26" s="119">
        <v>7.905623794E9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</row>
    <row r="27">
      <c r="A27" s="3">
        <v>25.0</v>
      </c>
      <c r="B27" s="13" t="s">
        <v>124</v>
      </c>
      <c r="C27" s="119">
        <v>9.454321925E9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4"/>
    </row>
    <row r="28">
      <c r="A28" s="3">
        <v>26.0</v>
      </c>
      <c r="B28" s="13" t="s">
        <v>44</v>
      </c>
      <c r="C28" s="119">
        <v>9.999815448E9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4"/>
    </row>
    <row r="29">
      <c r="A29" s="3">
        <v>27.0</v>
      </c>
      <c r="B29" s="36" t="s">
        <v>125</v>
      </c>
      <c r="C29" s="121">
        <v>6.394548224E9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28"/>
      <c r="P29" s="29"/>
    </row>
    <row r="30">
      <c r="A30" s="3">
        <v>28.0</v>
      </c>
      <c r="B30" s="13" t="s">
        <v>88</v>
      </c>
      <c r="C30" s="119">
        <v>9.369990152E9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4"/>
    </row>
    <row r="31">
      <c r="A31" s="3">
        <v>29.0</v>
      </c>
      <c r="B31" s="4" t="s">
        <v>67</v>
      </c>
      <c r="C31" s="119">
        <v>9.899664919E9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>
      <c r="A32" s="3">
        <v>30.0</v>
      </c>
      <c r="B32" s="13" t="s">
        <v>23</v>
      </c>
      <c r="C32" s="122">
        <v>7.007634961E9</v>
      </c>
      <c r="D32" s="40"/>
      <c r="E32" s="40"/>
      <c r="F32" s="40"/>
      <c r="G32" s="28"/>
      <c r="H32" s="28"/>
      <c r="I32" s="28"/>
      <c r="J32" s="28"/>
      <c r="K32" s="28"/>
      <c r="L32" s="28"/>
      <c r="M32" s="28"/>
      <c r="N32" s="28"/>
      <c r="O32" s="37"/>
      <c r="P32" s="29"/>
    </row>
    <row r="33">
      <c r="A33" s="3">
        <v>31.0</v>
      </c>
      <c r="B33" s="13" t="s">
        <v>126</v>
      </c>
      <c r="C33" s="119">
        <v>7.275050518E9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</row>
    <row r="34">
      <c r="A34" s="3">
        <v>32.0</v>
      </c>
      <c r="B34" s="13" t="s">
        <v>127</v>
      </c>
      <c r="C34" s="122">
        <v>8.400302089E9</v>
      </c>
      <c r="D34" s="40"/>
      <c r="E34" s="40"/>
      <c r="F34" s="40"/>
      <c r="G34" s="28"/>
      <c r="H34" s="28"/>
      <c r="I34" s="28"/>
      <c r="J34" s="28"/>
      <c r="K34" s="28"/>
      <c r="L34" s="28"/>
      <c r="M34" s="28"/>
      <c r="N34" s="28"/>
      <c r="O34" s="28"/>
      <c r="P34" s="34"/>
    </row>
    <row r="35">
      <c r="A35" s="3">
        <v>33.0</v>
      </c>
      <c r="B35" s="13" t="s">
        <v>70</v>
      </c>
      <c r="C35" s="119">
        <v>9.450944877E9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</row>
    <row r="36">
      <c r="A36" s="3">
        <v>34.0</v>
      </c>
      <c r="B36" s="13" t="s">
        <v>128</v>
      </c>
      <c r="C36" s="119">
        <v>8.765180051E9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4"/>
    </row>
    <row r="37">
      <c r="A37" s="3">
        <v>35.0</v>
      </c>
      <c r="B37" s="13" t="s">
        <v>68</v>
      </c>
      <c r="C37" s="119">
        <v>9.076949416E9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>
      <c r="A38" s="3">
        <v>36.0</v>
      </c>
      <c r="B38" s="13" t="s">
        <v>25</v>
      </c>
      <c r="C38" s="119">
        <v>7.065196383E9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9"/>
    </row>
    <row r="39">
      <c r="C39" s="123"/>
    </row>
    <row r="40">
      <c r="C40" s="123"/>
    </row>
    <row r="41">
      <c r="C41" s="123"/>
    </row>
    <row r="42">
      <c r="C42" s="123"/>
    </row>
    <row r="43">
      <c r="C43" s="123"/>
    </row>
    <row r="44">
      <c r="C44" s="123"/>
    </row>
    <row r="45">
      <c r="C45" s="123"/>
    </row>
    <row r="46">
      <c r="C46" s="123"/>
    </row>
    <row r="47">
      <c r="C47" s="123"/>
    </row>
    <row r="48">
      <c r="C48" s="123"/>
    </row>
    <row r="49">
      <c r="C49" s="123"/>
    </row>
    <row r="50">
      <c r="C50" s="123"/>
    </row>
    <row r="51">
      <c r="C51" s="123"/>
    </row>
    <row r="52">
      <c r="C52" s="123"/>
    </row>
    <row r="53">
      <c r="C53" s="123"/>
    </row>
    <row r="54">
      <c r="C54" s="123"/>
    </row>
    <row r="55">
      <c r="C55" s="123"/>
    </row>
    <row r="56">
      <c r="C56" s="123"/>
    </row>
    <row r="57">
      <c r="C57" s="123"/>
    </row>
    <row r="58">
      <c r="C58" s="123"/>
    </row>
    <row r="59">
      <c r="C59" s="123"/>
    </row>
    <row r="60">
      <c r="C60" s="123"/>
    </row>
    <row r="61">
      <c r="C61" s="123"/>
    </row>
    <row r="62">
      <c r="C62" s="123"/>
    </row>
    <row r="63">
      <c r="C63" s="123"/>
    </row>
    <row r="64">
      <c r="C64" s="123"/>
    </row>
    <row r="65">
      <c r="C65" s="123"/>
    </row>
    <row r="66">
      <c r="C66" s="123"/>
    </row>
    <row r="67">
      <c r="C67" s="123"/>
    </row>
    <row r="68">
      <c r="C68" s="123"/>
    </row>
    <row r="69">
      <c r="C69" s="123"/>
    </row>
    <row r="70">
      <c r="C70" s="123"/>
    </row>
    <row r="71">
      <c r="C71" s="123"/>
    </row>
    <row r="72">
      <c r="C72" s="123"/>
    </row>
    <row r="73">
      <c r="C73" s="123"/>
    </row>
    <row r="74">
      <c r="C74" s="123"/>
    </row>
    <row r="75">
      <c r="C75" s="123"/>
    </row>
    <row r="76">
      <c r="C76" s="123"/>
    </row>
    <row r="77">
      <c r="C77" s="123"/>
    </row>
    <row r="78">
      <c r="C78" s="123"/>
    </row>
    <row r="79">
      <c r="C79" s="123"/>
    </row>
    <row r="80">
      <c r="C80" s="123"/>
    </row>
    <row r="81">
      <c r="C81" s="123"/>
    </row>
    <row r="82">
      <c r="C82" s="123"/>
    </row>
    <row r="83">
      <c r="C83" s="123"/>
    </row>
    <row r="84">
      <c r="C84" s="123"/>
    </row>
    <row r="85">
      <c r="C85" s="123"/>
    </row>
    <row r="86">
      <c r="C86" s="123"/>
    </row>
    <row r="87">
      <c r="C87" s="123"/>
    </row>
    <row r="88">
      <c r="C88" s="123"/>
    </row>
    <row r="89">
      <c r="C89" s="123"/>
    </row>
    <row r="90">
      <c r="C90" s="123"/>
    </row>
    <row r="91">
      <c r="C91" s="123"/>
    </row>
    <row r="92">
      <c r="C92" s="123"/>
    </row>
    <row r="93">
      <c r="C93" s="123"/>
    </row>
    <row r="94">
      <c r="C94" s="123"/>
    </row>
    <row r="95">
      <c r="C95" s="123"/>
    </row>
    <row r="96">
      <c r="C96" s="123"/>
    </row>
    <row r="97">
      <c r="C97" s="123"/>
    </row>
    <row r="98">
      <c r="C98" s="123"/>
    </row>
    <row r="99">
      <c r="C99" s="123"/>
    </row>
    <row r="100">
      <c r="C100" s="123"/>
    </row>
    <row r="101">
      <c r="C101" s="123"/>
    </row>
    <row r="102">
      <c r="C102" s="123"/>
    </row>
    <row r="103">
      <c r="C103" s="123"/>
    </row>
    <row r="104">
      <c r="C104" s="123"/>
    </row>
    <row r="105">
      <c r="C105" s="123"/>
    </row>
    <row r="106">
      <c r="C106" s="123"/>
    </row>
    <row r="107">
      <c r="C107" s="123"/>
    </row>
    <row r="108">
      <c r="C108" s="123"/>
    </row>
    <row r="109">
      <c r="C109" s="123"/>
    </row>
    <row r="110">
      <c r="C110" s="123"/>
    </row>
    <row r="111">
      <c r="C111" s="123"/>
    </row>
    <row r="112">
      <c r="C112" s="123"/>
    </row>
    <row r="113">
      <c r="C113" s="123"/>
    </row>
    <row r="114">
      <c r="C114" s="123"/>
    </row>
    <row r="115">
      <c r="C115" s="123"/>
    </row>
    <row r="116">
      <c r="C116" s="123"/>
    </row>
    <row r="117">
      <c r="C117" s="123"/>
    </row>
    <row r="118">
      <c r="C118" s="123"/>
    </row>
    <row r="119">
      <c r="C119" s="123"/>
    </row>
    <row r="120">
      <c r="C120" s="123"/>
    </row>
    <row r="121">
      <c r="C121" s="123"/>
    </row>
    <row r="122">
      <c r="C122" s="123"/>
    </row>
    <row r="123">
      <c r="C123" s="123"/>
    </row>
    <row r="124">
      <c r="C124" s="123"/>
    </row>
    <row r="125">
      <c r="C125" s="123"/>
    </row>
    <row r="126">
      <c r="C126" s="123"/>
    </row>
    <row r="127">
      <c r="C127" s="123"/>
    </row>
    <row r="128">
      <c r="C128" s="123"/>
    </row>
    <row r="129">
      <c r="C129" s="123"/>
    </row>
    <row r="130">
      <c r="C130" s="123"/>
    </row>
    <row r="131">
      <c r="C131" s="123"/>
    </row>
    <row r="132">
      <c r="C132" s="123"/>
    </row>
    <row r="133">
      <c r="C133" s="123"/>
    </row>
    <row r="134">
      <c r="C134" s="123"/>
    </row>
    <row r="135">
      <c r="C135" s="123"/>
    </row>
    <row r="136">
      <c r="C136" s="123"/>
    </row>
    <row r="137">
      <c r="C137" s="123"/>
    </row>
    <row r="138">
      <c r="C138" s="123"/>
    </row>
    <row r="139">
      <c r="C139" s="123"/>
    </row>
    <row r="140">
      <c r="C140" s="123"/>
    </row>
    <row r="141">
      <c r="C141" s="123"/>
    </row>
    <row r="142">
      <c r="C142" s="123"/>
    </row>
    <row r="143">
      <c r="C143" s="123"/>
    </row>
    <row r="144">
      <c r="C144" s="123"/>
    </row>
    <row r="145">
      <c r="C145" s="123"/>
    </row>
    <row r="146">
      <c r="C146" s="123"/>
    </row>
    <row r="147">
      <c r="C147" s="123"/>
    </row>
    <row r="148">
      <c r="C148" s="123"/>
    </row>
    <row r="149">
      <c r="C149" s="123"/>
    </row>
    <row r="150">
      <c r="C150" s="123"/>
    </row>
    <row r="151">
      <c r="C151" s="123"/>
    </row>
    <row r="152">
      <c r="C152" s="123"/>
    </row>
    <row r="153">
      <c r="C153" s="123"/>
    </row>
    <row r="154">
      <c r="C154" s="123"/>
    </row>
    <row r="155">
      <c r="C155" s="123"/>
    </row>
    <row r="156">
      <c r="C156" s="123"/>
    </row>
    <row r="157">
      <c r="C157" s="123"/>
    </row>
    <row r="158">
      <c r="C158" s="123"/>
    </row>
    <row r="159">
      <c r="C159" s="123"/>
    </row>
    <row r="160">
      <c r="C160" s="123"/>
    </row>
    <row r="161">
      <c r="C161" s="123"/>
    </row>
    <row r="162">
      <c r="C162" s="123"/>
    </row>
    <row r="163">
      <c r="C163" s="123"/>
    </row>
    <row r="164">
      <c r="C164" s="123"/>
    </row>
    <row r="165">
      <c r="C165" s="123"/>
    </row>
    <row r="166">
      <c r="C166" s="123"/>
    </row>
    <row r="167">
      <c r="C167" s="123"/>
    </row>
    <row r="168">
      <c r="C168" s="123"/>
    </row>
    <row r="169">
      <c r="C169" s="123"/>
    </row>
    <row r="170">
      <c r="C170" s="123"/>
    </row>
    <row r="171">
      <c r="C171" s="123"/>
    </row>
    <row r="172">
      <c r="C172" s="123"/>
    </row>
    <row r="173">
      <c r="C173" s="123"/>
    </row>
    <row r="174">
      <c r="C174" s="123"/>
    </row>
    <row r="175">
      <c r="C175" s="123"/>
    </row>
    <row r="176">
      <c r="C176" s="123"/>
    </row>
    <row r="177">
      <c r="C177" s="123"/>
    </row>
    <row r="178">
      <c r="C178" s="123"/>
    </row>
    <row r="179">
      <c r="C179" s="123"/>
    </row>
    <row r="180">
      <c r="C180" s="123"/>
    </row>
    <row r="181">
      <c r="C181" s="123"/>
    </row>
    <row r="182">
      <c r="C182" s="123"/>
    </row>
    <row r="183">
      <c r="C183" s="123"/>
    </row>
    <row r="184">
      <c r="C184" s="123"/>
    </row>
    <row r="185">
      <c r="C185" s="123"/>
    </row>
    <row r="186">
      <c r="C186" s="123"/>
    </row>
    <row r="187">
      <c r="C187" s="123"/>
    </row>
    <row r="188">
      <c r="C188" s="123"/>
    </row>
    <row r="189">
      <c r="C189" s="123"/>
    </row>
    <row r="190">
      <c r="C190" s="123"/>
    </row>
    <row r="191">
      <c r="C191" s="123"/>
    </row>
    <row r="192">
      <c r="C192" s="123"/>
    </row>
    <row r="193">
      <c r="C193" s="123"/>
    </row>
    <row r="194">
      <c r="C194" s="123"/>
    </row>
    <row r="195">
      <c r="C195" s="123"/>
    </row>
    <row r="196">
      <c r="C196" s="123"/>
    </row>
    <row r="197">
      <c r="C197" s="123"/>
    </row>
    <row r="198">
      <c r="C198" s="123"/>
    </row>
    <row r="199">
      <c r="C199" s="123"/>
    </row>
    <row r="200">
      <c r="C200" s="123"/>
    </row>
    <row r="201">
      <c r="C201" s="123"/>
    </row>
    <row r="202">
      <c r="C202" s="123"/>
    </row>
    <row r="203">
      <c r="C203" s="123"/>
    </row>
    <row r="204">
      <c r="C204" s="123"/>
    </row>
    <row r="205">
      <c r="C205" s="123"/>
    </row>
    <row r="206">
      <c r="C206" s="123"/>
    </row>
    <row r="207">
      <c r="C207" s="123"/>
    </row>
    <row r="208">
      <c r="C208" s="123"/>
    </row>
    <row r="209">
      <c r="C209" s="123"/>
    </row>
    <row r="210">
      <c r="C210" s="123"/>
    </row>
    <row r="211">
      <c r="C211" s="123"/>
    </row>
    <row r="212">
      <c r="C212" s="123"/>
    </row>
    <row r="213">
      <c r="C213" s="123"/>
    </row>
    <row r="214">
      <c r="C214" s="123"/>
    </row>
    <row r="215">
      <c r="C215" s="123"/>
    </row>
    <row r="216">
      <c r="C216" s="123"/>
    </row>
    <row r="217">
      <c r="C217" s="123"/>
    </row>
    <row r="218">
      <c r="C218" s="123"/>
    </row>
    <row r="219">
      <c r="C219" s="123"/>
    </row>
    <row r="220">
      <c r="C220" s="123"/>
    </row>
    <row r="221">
      <c r="C221" s="123"/>
    </row>
    <row r="222">
      <c r="C222" s="123"/>
    </row>
    <row r="223">
      <c r="C223" s="123"/>
    </row>
    <row r="224">
      <c r="C224" s="123"/>
    </row>
    <row r="225">
      <c r="C225" s="123"/>
    </row>
    <row r="226">
      <c r="C226" s="123"/>
    </row>
    <row r="227">
      <c r="C227" s="123"/>
    </row>
    <row r="228">
      <c r="C228" s="123"/>
    </row>
    <row r="229">
      <c r="C229" s="123"/>
    </row>
    <row r="230">
      <c r="C230" s="123"/>
    </row>
    <row r="231">
      <c r="C231" s="123"/>
    </row>
    <row r="232">
      <c r="C232" s="123"/>
    </row>
    <row r="233">
      <c r="C233" s="123"/>
    </row>
    <row r="234">
      <c r="C234" s="123"/>
    </row>
    <row r="235">
      <c r="C235" s="123"/>
    </row>
    <row r="236">
      <c r="C236" s="123"/>
    </row>
    <row r="237">
      <c r="C237" s="123"/>
    </row>
    <row r="238">
      <c r="C238" s="123"/>
    </row>
    <row r="239">
      <c r="C239" s="123"/>
    </row>
    <row r="240">
      <c r="C240" s="123"/>
    </row>
    <row r="241">
      <c r="C241" s="123"/>
    </row>
    <row r="242">
      <c r="C242" s="123"/>
    </row>
    <row r="243">
      <c r="C243" s="123"/>
    </row>
    <row r="244">
      <c r="C244" s="123"/>
    </row>
    <row r="245">
      <c r="C245" s="123"/>
    </row>
    <row r="246">
      <c r="C246" s="123"/>
    </row>
    <row r="247">
      <c r="C247" s="123"/>
    </row>
    <row r="248">
      <c r="C248" s="123"/>
    </row>
    <row r="249">
      <c r="C249" s="123"/>
    </row>
    <row r="250">
      <c r="C250" s="123"/>
    </row>
    <row r="251">
      <c r="C251" s="123"/>
    </row>
    <row r="252">
      <c r="C252" s="123"/>
    </row>
    <row r="253">
      <c r="C253" s="123"/>
    </row>
    <row r="254">
      <c r="C254" s="123"/>
    </row>
    <row r="255">
      <c r="C255" s="123"/>
    </row>
    <row r="256">
      <c r="C256" s="123"/>
    </row>
    <row r="257">
      <c r="C257" s="123"/>
    </row>
    <row r="258">
      <c r="C258" s="123"/>
    </row>
    <row r="259">
      <c r="C259" s="123"/>
    </row>
    <row r="260">
      <c r="C260" s="123"/>
    </row>
    <row r="261">
      <c r="C261" s="123"/>
    </row>
    <row r="262">
      <c r="C262" s="123"/>
    </row>
    <row r="263">
      <c r="C263" s="123"/>
    </row>
    <row r="264">
      <c r="C264" s="123"/>
    </row>
    <row r="265">
      <c r="C265" s="123"/>
    </row>
    <row r="266">
      <c r="C266" s="123"/>
    </row>
    <row r="267">
      <c r="C267" s="123"/>
    </row>
    <row r="268">
      <c r="C268" s="123"/>
    </row>
    <row r="269">
      <c r="C269" s="123"/>
    </row>
    <row r="270">
      <c r="C270" s="123"/>
    </row>
    <row r="271">
      <c r="C271" s="123"/>
    </row>
    <row r="272">
      <c r="C272" s="123"/>
    </row>
    <row r="273">
      <c r="C273" s="123"/>
    </row>
    <row r="274">
      <c r="C274" s="123"/>
    </row>
    <row r="275">
      <c r="C275" s="123"/>
    </row>
    <row r="276">
      <c r="C276" s="123"/>
    </row>
    <row r="277">
      <c r="C277" s="123"/>
    </row>
    <row r="278">
      <c r="C278" s="123"/>
    </row>
    <row r="279">
      <c r="C279" s="123"/>
    </row>
    <row r="280">
      <c r="C280" s="123"/>
    </row>
    <row r="281">
      <c r="C281" s="123"/>
    </row>
    <row r="282">
      <c r="C282" s="123"/>
    </row>
    <row r="283">
      <c r="C283" s="123"/>
    </row>
    <row r="284">
      <c r="C284" s="123"/>
    </row>
    <row r="285">
      <c r="C285" s="123"/>
    </row>
    <row r="286">
      <c r="C286" s="123"/>
    </row>
    <row r="287">
      <c r="C287" s="123"/>
    </row>
    <row r="288">
      <c r="C288" s="123"/>
    </row>
    <row r="289">
      <c r="C289" s="123"/>
    </row>
    <row r="290">
      <c r="C290" s="123"/>
    </row>
    <row r="291">
      <c r="C291" s="123"/>
    </row>
    <row r="292">
      <c r="C292" s="123"/>
    </row>
    <row r="293">
      <c r="C293" s="123"/>
    </row>
    <row r="294">
      <c r="C294" s="123"/>
    </row>
    <row r="295">
      <c r="C295" s="123"/>
    </row>
    <row r="296">
      <c r="C296" s="123"/>
    </row>
    <row r="297">
      <c r="C297" s="123"/>
    </row>
    <row r="298">
      <c r="C298" s="123"/>
    </row>
    <row r="299">
      <c r="C299" s="123"/>
    </row>
    <row r="300">
      <c r="C300" s="123"/>
    </row>
    <row r="301">
      <c r="C301" s="123"/>
    </row>
    <row r="302">
      <c r="C302" s="123"/>
    </row>
    <row r="303">
      <c r="C303" s="123"/>
    </row>
    <row r="304">
      <c r="C304" s="123"/>
    </row>
    <row r="305">
      <c r="C305" s="123"/>
    </row>
    <row r="306">
      <c r="C306" s="123"/>
    </row>
    <row r="307">
      <c r="C307" s="123"/>
    </row>
    <row r="308">
      <c r="C308" s="123"/>
    </row>
    <row r="309">
      <c r="C309" s="123"/>
    </row>
    <row r="310">
      <c r="C310" s="123"/>
    </row>
    <row r="311">
      <c r="C311" s="123"/>
    </row>
    <row r="312">
      <c r="C312" s="123"/>
    </row>
    <row r="313">
      <c r="C313" s="123"/>
    </row>
    <row r="314">
      <c r="C314" s="123"/>
    </row>
    <row r="315">
      <c r="C315" s="123"/>
    </row>
    <row r="316">
      <c r="C316" s="123"/>
    </row>
    <row r="317">
      <c r="C317" s="123"/>
    </row>
    <row r="318">
      <c r="C318" s="123"/>
    </row>
    <row r="319">
      <c r="C319" s="123"/>
    </row>
    <row r="320">
      <c r="C320" s="123"/>
    </row>
    <row r="321">
      <c r="C321" s="123"/>
    </row>
    <row r="322">
      <c r="C322" s="123"/>
    </row>
    <row r="323">
      <c r="C323" s="123"/>
    </row>
    <row r="324">
      <c r="C324" s="123"/>
    </row>
    <row r="325">
      <c r="C325" s="123"/>
    </row>
    <row r="326">
      <c r="C326" s="123"/>
    </row>
    <row r="327">
      <c r="C327" s="123"/>
    </row>
    <row r="328">
      <c r="C328" s="123"/>
    </row>
    <row r="329">
      <c r="C329" s="123"/>
    </row>
    <row r="330">
      <c r="C330" s="123"/>
    </row>
    <row r="331">
      <c r="C331" s="123"/>
    </row>
    <row r="332">
      <c r="C332" s="123"/>
    </row>
    <row r="333">
      <c r="C333" s="123"/>
    </row>
    <row r="334">
      <c r="C334" s="123"/>
    </row>
    <row r="335">
      <c r="C335" s="123"/>
    </row>
    <row r="336">
      <c r="C336" s="123"/>
    </row>
    <row r="337">
      <c r="C337" s="123"/>
    </row>
    <row r="338">
      <c r="C338" s="123"/>
    </row>
    <row r="339">
      <c r="C339" s="123"/>
    </row>
    <row r="340">
      <c r="C340" s="123"/>
    </row>
    <row r="341">
      <c r="C341" s="123"/>
    </row>
    <row r="342">
      <c r="C342" s="123"/>
    </row>
    <row r="343">
      <c r="C343" s="123"/>
    </row>
    <row r="344">
      <c r="C344" s="123"/>
    </row>
    <row r="345">
      <c r="C345" s="123"/>
    </row>
    <row r="346">
      <c r="C346" s="123"/>
    </row>
    <row r="347">
      <c r="C347" s="123"/>
    </row>
    <row r="348">
      <c r="C348" s="123"/>
    </row>
    <row r="349">
      <c r="C349" s="123"/>
    </row>
    <row r="350">
      <c r="C350" s="123"/>
    </row>
    <row r="351">
      <c r="C351" s="123"/>
    </row>
    <row r="352">
      <c r="C352" s="123"/>
    </row>
    <row r="353">
      <c r="C353" s="123"/>
    </row>
    <row r="354">
      <c r="C354" s="123"/>
    </row>
    <row r="355">
      <c r="C355" s="123"/>
    </row>
    <row r="356">
      <c r="C356" s="123"/>
    </row>
    <row r="357">
      <c r="C357" s="123"/>
    </row>
    <row r="358">
      <c r="C358" s="123"/>
    </row>
    <row r="359">
      <c r="C359" s="123"/>
    </row>
    <row r="360">
      <c r="C360" s="123"/>
    </row>
    <row r="361">
      <c r="C361" s="123"/>
    </row>
    <row r="362">
      <c r="C362" s="123"/>
    </row>
    <row r="363">
      <c r="C363" s="123"/>
    </row>
    <row r="364">
      <c r="C364" s="123"/>
    </row>
    <row r="365">
      <c r="C365" s="123"/>
    </row>
    <row r="366">
      <c r="C366" s="123"/>
    </row>
    <row r="367">
      <c r="C367" s="123"/>
    </row>
    <row r="368">
      <c r="C368" s="123"/>
    </row>
    <row r="369">
      <c r="C369" s="123"/>
    </row>
    <row r="370">
      <c r="C370" s="123"/>
    </row>
    <row r="371">
      <c r="C371" s="123"/>
    </row>
    <row r="372">
      <c r="C372" s="123"/>
    </row>
    <row r="373">
      <c r="C373" s="123"/>
    </row>
    <row r="374">
      <c r="C374" s="123"/>
    </row>
    <row r="375">
      <c r="C375" s="123"/>
    </row>
    <row r="376">
      <c r="C376" s="123"/>
    </row>
    <row r="377">
      <c r="C377" s="123"/>
    </row>
    <row r="378">
      <c r="C378" s="123"/>
    </row>
    <row r="379">
      <c r="C379" s="123"/>
    </row>
    <row r="380">
      <c r="C380" s="123"/>
    </row>
    <row r="381">
      <c r="C381" s="123"/>
    </row>
    <row r="382">
      <c r="C382" s="123"/>
    </row>
    <row r="383">
      <c r="C383" s="123"/>
    </row>
    <row r="384">
      <c r="C384" s="123"/>
    </row>
    <row r="385">
      <c r="C385" s="123"/>
    </row>
    <row r="386">
      <c r="C386" s="123"/>
    </row>
    <row r="387">
      <c r="C387" s="123"/>
    </row>
    <row r="388">
      <c r="C388" s="123"/>
    </row>
    <row r="389">
      <c r="C389" s="123"/>
    </row>
    <row r="390">
      <c r="C390" s="123"/>
    </row>
    <row r="391">
      <c r="C391" s="123"/>
    </row>
    <row r="392">
      <c r="C392" s="123"/>
    </row>
    <row r="393">
      <c r="C393" s="123"/>
    </row>
    <row r="394">
      <c r="C394" s="123"/>
    </row>
    <row r="395">
      <c r="C395" s="123"/>
    </row>
    <row r="396">
      <c r="C396" s="123"/>
    </row>
    <row r="397">
      <c r="C397" s="123"/>
    </row>
    <row r="398">
      <c r="C398" s="123"/>
    </row>
    <row r="399">
      <c r="C399" s="123"/>
    </row>
    <row r="400">
      <c r="C400" s="123"/>
    </row>
    <row r="401">
      <c r="C401" s="123"/>
    </row>
    <row r="402">
      <c r="C402" s="123"/>
    </row>
    <row r="403">
      <c r="C403" s="123"/>
    </row>
    <row r="404">
      <c r="C404" s="123"/>
    </row>
    <row r="405">
      <c r="C405" s="123"/>
    </row>
    <row r="406">
      <c r="C406" s="123"/>
    </row>
    <row r="407">
      <c r="C407" s="123"/>
    </row>
    <row r="408">
      <c r="C408" s="123"/>
    </row>
    <row r="409">
      <c r="C409" s="123"/>
    </row>
    <row r="410">
      <c r="C410" s="123"/>
    </row>
    <row r="411">
      <c r="C411" s="123"/>
    </row>
    <row r="412">
      <c r="C412" s="123"/>
    </row>
    <row r="413">
      <c r="C413" s="123"/>
    </row>
    <row r="414">
      <c r="C414" s="123"/>
    </row>
    <row r="415">
      <c r="C415" s="123"/>
    </row>
    <row r="416">
      <c r="C416" s="123"/>
    </row>
    <row r="417">
      <c r="C417" s="123"/>
    </row>
    <row r="418">
      <c r="C418" s="123"/>
    </row>
    <row r="419">
      <c r="C419" s="123"/>
    </row>
    <row r="420">
      <c r="C420" s="123"/>
    </row>
    <row r="421">
      <c r="C421" s="123"/>
    </row>
    <row r="422">
      <c r="C422" s="123"/>
    </row>
    <row r="423">
      <c r="C423" s="123"/>
    </row>
    <row r="424">
      <c r="C424" s="123"/>
    </row>
    <row r="425">
      <c r="C425" s="123"/>
    </row>
    <row r="426">
      <c r="C426" s="123"/>
    </row>
    <row r="427">
      <c r="C427" s="123"/>
    </row>
    <row r="428">
      <c r="C428" s="123"/>
    </row>
    <row r="429">
      <c r="C429" s="123"/>
    </row>
    <row r="430">
      <c r="C430" s="123"/>
    </row>
    <row r="431">
      <c r="C431" s="123"/>
    </row>
    <row r="432">
      <c r="C432" s="123"/>
    </row>
    <row r="433">
      <c r="C433" s="123"/>
    </row>
    <row r="434">
      <c r="C434" s="123"/>
    </row>
    <row r="435">
      <c r="C435" s="123"/>
    </row>
    <row r="436">
      <c r="C436" s="123"/>
    </row>
    <row r="437">
      <c r="C437" s="123"/>
    </row>
    <row r="438">
      <c r="C438" s="123"/>
    </row>
    <row r="439">
      <c r="C439" s="123"/>
    </row>
    <row r="440">
      <c r="C440" s="123"/>
    </row>
    <row r="441">
      <c r="C441" s="123"/>
    </row>
    <row r="442">
      <c r="C442" s="123"/>
    </row>
    <row r="443">
      <c r="C443" s="123"/>
    </row>
    <row r="444">
      <c r="C444" s="123"/>
    </row>
    <row r="445">
      <c r="C445" s="123"/>
    </row>
    <row r="446">
      <c r="C446" s="123"/>
    </row>
    <row r="447">
      <c r="C447" s="123"/>
    </row>
    <row r="448">
      <c r="C448" s="123"/>
    </row>
    <row r="449">
      <c r="C449" s="123"/>
    </row>
    <row r="450">
      <c r="C450" s="123"/>
    </row>
    <row r="451">
      <c r="C451" s="123"/>
    </row>
    <row r="452">
      <c r="C452" s="123"/>
    </row>
    <row r="453">
      <c r="C453" s="123"/>
    </row>
    <row r="454">
      <c r="C454" s="123"/>
    </row>
    <row r="455">
      <c r="C455" s="123"/>
    </row>
    <row r="456">
      <c r="C456" s="123"/>
    </row>
    <row r="457">
      <c r="C457" s="123"/>
    </row>
    <row r="458">
      <c r="C458" s="123"/>
    </row>
    <row r="459">
      <c r="C459" s="123"/>
    </row>
    <row r="460">
      <c r="C460" s="123"/>
    </row>
    <row r="461">
      <c r="C461" s="123"/>
    </row>
    <row r="462">
      <c r="C462" s="123"/>
    </row>
    <row r="463">
      <c r="C463" s="123"/>
    </row>
    <row r="464">
      <c r="C464" s="123"/>
    </row>
    <row r="465">
      <c r="C465" s="123"/>
    </row>
    <row r="466">
      <c r="C466" s="123"/>
    </row>
    <row r="467">
      <c r="C467" s="123"/>
    </row>
    <row r="468">
      <c r="C468" s="123"/>
    </row>
    <row r="469">
      <c r="C469" s="123"/>
    </row>
    <row r="470">
      <c r="C470" s="123"/>
    </row>
    <row r="471">
      <c r="C471" s="123"/>
    </row>
    <row r="472">
      <c r="C472" s="123"/>
    </row>
    <row r="473">
      <c r="C473" s="123"/>
    </row>
    <row r="474">
      <c r="C474" s="123"/>
    </row>
    <row r="475">
      <c r="C475" s="123"/>
    </row>
    <row r="476">
      <c r="C476" s="123"/>
    </row>
    <row r="477">
      <c r="C477" s="123"/>
    </row>
    <row r="478">
      <c r="C478" s="123"/>
    </row>
    <row r="479">
      <c r="C479" s="123"/>
    </row>
    <row r="480">
      <c r="C480" s="123"/>
    </row>
    <row r="481">
      <c r="C481" s="123"/>
    </row>
    <row r="482">
      <c r="C482" s="123"/>
    </row>
    <row r="483">
      <c r="C483" s="123"/>
    </row>
    <row r="484">
      <c r="C484" s="123"/>
    </row>
    <row r="485">
      <c r="C485" s="123"/>
    </row>
    <row r="486">
      <c r="C486" s="123"/>
    </row>
    <row r="487">
      <c r="C487" s="123"/>
    </row>
    <row r="488">
      <c r="C488" s="123"/>
    </row>
    <row r="489">
      <c r="C489" s="123"/>
    </row>
    <row r="490">
      <c r="C490" s="123"/>
    </row>
    <row r="491">
      <c r="C491" s="123"/>
    </row>
    <row r="492">
      <c r="C492" s="123"/>
    </row>
    <row r="493">
      <c r="C493" s="123"/>
    </row>
    <row r="494">
      <c r="C494" s="123"/>
    </row>
    <row r="495">
      <c r="C495" s="123"/>
    </row>
    <row r="496">
      <c r="C496" s="123"/>
    </row>
    <row r="497">
      <c r="C497" s="123"/>
    </row>
    <row r="498">
      <c r="C498" s="123"/>
    </row>
    <row r="499">
      <c r="C499" s="123"/>
    </row>
    <row r="500">
      <c r="C500" s="123"/>
    </row>
    <row r="501">
      <c r="C501" s="123"/>
    </row>
    <row r="502">
      <c r="C502" s="123"/>
    </row>
    <row r="503">
      <c r="C503" s="123"/>
    </row>
    <row r="504">
      <c r="C504" s="123"/>
    </row>
    <row r="505">
      <c r="C505" s="123"/>
    </row>
    <row r="506">
      <c r="C506" s="123"/>
    </row>
    <row r="507">
      <c r="C507" s="123"/>
    </row>
    <row r="508">
      <c r="C508" s="123"/>
    </row>
    <row r="509">
      <c r="C509" s="123"/>
    </row>
    <row r="510">
      <c r="C510" s="123"/>
    </row>
    <row r="511">
      <c r="C511" s="123"/>
    </row>
    <row r="512">
      <c r="C512" s="123"/>
    </row>
    <row r="513">
      <c r="C513" s="123"/>
    </row>
    <row r="514">
      <c r="C514" s="123"/>
    </row>
    <row r="515">
      <c r="C515" s="123"/>
    </row>
    <row r="516">
      <c r="C516" s="123"/>
    </row>
    <row r="517">
      <c r="C517" s="123"/>
    </row>
    <row r="518">
      <c r="C518" s="123"/>
    </row>
    <row r="519">
      <c r="C519" s="123"/>
    </row>
    <row r="520">
      <c r="C520" s="123"/>
    </row>
    <row r="521">
      <c r="C521" s="123"/>
    </row>
    <row r="522">
      <c r="C522" s="123"/>
    </row>
    <row r="523">
      <c r="C523" s="123"/>
    </row>
    <row r="524">
      <c r="C524" s="123"/>
    </row>
    <row r="525">
      <c r="C525" s="123"/>
    </row>
    <row r="526">
      <c r="C526" s="123"/>
    </row>
    <row r="527">
      <c r="C527" s="123"/>
    </row>
    <row r="528">
      <c r="C528" s="123"/>
    </row>
    <row r="529">
      <c r="C529" s="123"/>
    </row>
    <row r="530">
      <c r="C530" s="123"/>
    </row>
    <row r="531">
      <c r="C531" s="123"/>
    </row>
    <row r="532">
      <c r="C532" s="123"/>
    </row>
    <row r="533">
      <c r="C533" s="123"/>
    </row>
    <row r="534">
      <c r="C534" s="123"/>
    </row>
    <row r="535">
      <c r="C535" s="123"/>
    </row>
    <row r="536">
      <c r="C536" s="123"/>
    </row>
    <row r="537">
      <c r="C537" s="123"/>
    </row>
    <row r="538">
      <c r="C538" s="123"/>
    </row>
    <row r="539">
      <c r="C539" s="123"/>
    </row>
    <row r="540">
      <c r="C540" s="123"/>
    </row>
    <row r="541">
      <c r="C541" s="123"/>
    </row>
    <row r="542">
      <c r="C542" s="123"/>
    </row>
    <row r="543">
      <c r="C543" s="123"/>
    </row>
    <row r="544">
      <c r="C544" s="123"/>
    </row>
    <row r="545">
      <c r="C545" s="123"/>
    </row>
    <row r="546">
      <c r="C546" s="123"/>
    </row>
    <row r="547">
      <c r="C547" s="123"/>
    </row>
    <row r="548">
      <c r="C548" s="123"/>
    </row>
    <row r="549">
      <c r="C549" s="123"/>
    </row>
    <row r="550">
      <c r="C550" s="123"/>
    </row>
    <row r="551">
      <c r="C551" s="123"/>
    </row>
    <row r="552">
      <c r="C552" s="123"/>
    </row>
    <row r="553">
      <c r="C553" s="123"/>
    </row>
    <row r="554">
      <c r="C554" s="123"/>
    </row>
    <row r="555">
      <c r="C555" s="123"/>
    </row>
    <row r="556">
      <c r="C556" s="123"/>
    </row>
    <row r="557">
      <c r="C557" s="123"/>
    </row>
    <row r="558">
      <c r="C558" s="123"/>
    </row>
    <row r="559">
      <c r="C559" s="123"/>
    </row>
    <row r="560">
      <c r="C560" s="123"/>
    </row>
    <row r="561">
      <c r="C561" s="123"/>
    </row>
    <row r="562">
      <c r="C562" s="123"/>
    </row>
    <row r="563">
      <c r="C563" s="123"/>
    </row>
    <row r="564">
      <c r="C564" s="123"/>
    </row>
    <row r="565">
      <c r="C565" s="123"/>
    </row>
    <row r="566">
      <c r="C566" s="123"/>
    </row>
    <row r="567">
      <c r="C567" s="123"/>
    </row>
    <row r="568">
      <c r="C568" s="123"/>
    </row>
    <row r="569">
      <c r="C569" s="123"/>
    </row>
    <row r="570">
      <c r="C570" s="123"/>
    </row>
    <row r="571">
      <c r="C571" s="123"/>
    </row>
    <row r="572">
      <c r="C572" s="123"/>
    </row>
    <row r="573">
      <c r="C573" s="123"/>
    </row>
    <row r="574">
      <c r="C574" s="123"/>
    </row>
    <row r="575">
      <c r="C575" s="123"/>
    </row>
    <row r="576">
      <c r="C576" s="123"/>
    </row>
    <row r="577">
      <c r="C577" s="123"/>
    </row>
    <row r="578">
      <c r="C578" s="123"/>
    </row>
    <row r="579">
      <c r="C579" s="123"/>
    </row>
    <row r="580">
      <c r="C580" s="123"/>
    </row>
    <row r="581">
      <c r="C581" s="123"/>
    </row>
    <row r="582">
      <c r="C582" s="123"/>
    </row>
    <row r="583">
      <c r="C583" s="123"/>
    </row>
    <row r="584">
      <c r="C584" s="123"/>
    </row>
    <row r="585">
      <c r="C585" s="123"/>
    </row>
    <row r="586">
      <c r="C586" s="123"/>
    </row>
    <row r="587">
      <c r="C587" s="123"/>
    </row>
    <row r="588">
      <c r="C588" s="123"/>
    </row>
    <row r="589">
      <c r="C589" s="123"/>
    </row>
    <row r="590">
      <c r="C590" s="123"/>
    </row>
    <row r="591">
      <c r="C591" s="123"/>
    </row>
    <row r="592">
      <c r="C592" s="123"/>
    </row>
    <row r="593">
      <c r="C593" s="123"/>
    </row>
    <row r="594">
      <c r="C594" s="123"/>
    </row>
    <row r="595">
      <c r="C595" s="123"/>
    </row>
    <row r="596">
      <c r="C596" s="123"/>
    </row>
    <row r="597">
      <c r="C597" s="123"/>
    </row>
    <row r="598">
      <c r="C598" s="123"/>
    </row>
    <row r="599">
      <c r="C599" s="123"/>
    </row>
    <row r="600">
      <c r="C600" s="123"/>
    </row>
    <row r="601">
      <c r="C601" s="123"/>
    </row>
    <row r="602">
      <c r="C602" s="123"/>
    </row>
    <row r="603">
      <c r="C603" s="123"/>
    </row>
    <row r="604">
      <c r="C604" s="123"/>
    </row>
    <row r="605">
      <c r="C605" s="123"/>
    </row>
    <row r="606">
      <c r="C606" s="123"/>
    </row>
    <row r="607">
      <c r="C607" s="123"/>
    </row>
    <row r="608">
      <c r="C608" s="123"/>
    </row>
    <row r="609">
      <c r="C609" s="123"/>
    </row>
    <row r="610">
      <c r="C610" s="123"/>
    </row>
    <row r="611">
      <c r="C611" s="123"/>
    </row>
    <row r="612">
      <c r="C612" s="123"/>
    </row>
    <row r="613">
      <c r="C613" s="123"/>
    </row>
    <row r="614">
      <c r="C614" s="123"/>
    </row>
    <row r="615">
      <c r="C615" s="123"/>
    </row>
    <row r="616">
      <c r="C616" s="123"/>
    </row>
    <row r="617">
      <c r="C617" s="123"/>
    </row>
    <row r="618">
      <c r="C618" s="123"/>
    </row>
    <row r="619">
      <c r="C619" s="123"/>
    </row>
    <row r="620">
      <c r="C620" s="123"/>
    </row>
    <row r="621">
      <c r="C621" s="123"/>
    </row>
    <row r="622">
      <c r="C622" s="123"/>
    </row>
    <row r="623">
      <c r="C623" s="123"/>
    </row>
    <row r="624">
      <c r="C624" s="123"/>
    </row>
    <row r="625">
      <c r="C625" s="123"/>
    </row>
    <row r="626">
      <c r="C626" s="123"/>
    </row>
    <row r="627">
      <c r="C627" s="123"/>
    </row>
    <row r="628">
      <c r="C628" s="123"/>
    </row>
    <row r="629">
      <c r="C629" s="123"/>
    </row>
    <row r="630">
      <c r="C630" s="123"/>
    </row>
    <row r="631">
      <c r="C631" s="123"/>
    </row>
    <row r="632">
      <c r="C632" s="123"/>
    </row>
    <row r="633">
      <c r="C633" s="123"/>
    </row>
    <row r="634">
      <c r="C634" s="123"/>
    </row>
    <row r="635">
      <c r="C635" s="123"/>
    </row>
    <row r="636">
      <c r="C636" s="123"/>
    </row>
    <row r="637">
      <c r="C637" s="123"/>
    </row>
    <row r="638">
      <c r="C638" s="123"/>
    </row>
    <row r="639">
      <c r="C639" s="123"/>
    </row>
    <row r="640">
      <c r="C640" s="123"/>
    </row>
    <row r="641">
      <c r="C641" s="123"/>
    </row>
    <row r="642">
      <c r="C642" s="123"/>
    </row>
    <row r="643">
      <c r="C643" s="123"/>
    </row>
    <row r="644">
      <c r="C644" s="123"/>
    </row>
    <row r="645">
      <c r="C645" s="123"/>
    </row>
    <row r="646">
      <c r="C646" s="123"/>
    </row>
    <row r="647">
      <c r="C647" s="123"/>
    </row>
    <row r="648">
      <c r="C648" s="123"/>
    </row>
    <row r="649">
      <c r="C649" s="123"/>
    </row>
    <row r="650">
      <c r="C650" s="123"/>
    </row>
    <row r="651">
      <c r="C651" s="123"/>
    </row>
    <row r="652">
      <c r="C652" s="123"/>
    </row>
    <row r="653">
      <c r="C653" s="123"/>
    </row>
    <row r="654">
      <c r="C654" s="123"/>
    </row>
    <row r="655">
      <c r="C655" s="123"/>
    </row>
    <row r="656">
      <c r="C656" s="123"/>
    </row>
    <row r="657">
      <c r="C657" s="123"/>
    </row>
    <row r="658">
      <c r="C658" s="123"/>
    </row>
    <row r="659">
      <c r="C659" s="123"/>
    </row>
    <row r="660">
      <c r="C660" s="123"/>
    </row>
    <row r="661">
      <c r="C661" s="123"/>
    </row>
    <row r="662">
      <c r="C662" s="123"/>
    </row>
    <row r="663">
      <c r="C663" s="123"/>
    </row>
    <row r="664">
      <c r="C664" s="123"/>
    </row>
    <row r="665">
      <c r="C665" s="123"/>
    </row>
    <row r="666">
      <c r="C666" s="123"/>
    </row>
    <row r="667">
      <c r="C667" s="123"/>
    </row>
    <row r="668">
      <c r="C668" s="123"/>
    </row>
    <row r="669">
      <c r="C669" s="123"/>
    </row>
    <row r="670">
      <c r="C670" s="123"/>
    </row>
    <row r="671">
      <c r="C671" s="123"/>
    </row>
    <row r="672">
      <c r="C672" s="123"/>
    </row>
    <row r="673">
      <c r="C673" s="123"/>
    </row>
    <row r="674">
      <c r="C674" s="123"/>
    </row>
    <row r="675">
      <c r="C675" s="123"/>
    </row>
    <row r="676">
      <c r="C676" s="123"/>
    </row>
    <row r="677">
      <c r="C677" s="123"/>
    </row>
    <row r="678">
      <c r="C678" s="123"/>
    </row>
    <row r="679">
      <c r="C679" s="123"/>
    </row>
    <row r="680">
      <c r="C680" s="123"/>
    </row>
    <row r="681">
      <c r="C681" s="123"/>
    </row>
    <row r="682">
      <c r="C682" s="123"/>
    </row>
    <row r="683">
      <c r="C683" s="123"/>
    </row>
    <row r="684">
      <c r="C684" s="123"/>
    </row>
    <row r="685">
      <c r="C685" s="123"/>
    </row>
    <row r="686">
      <c r="C686" s="123"/>
    </row>
    <row r="687">
      <c r="C687" s="123"/>
    </row>
    <row r="688">
      <c r="C688" s="123"/>
    </row>
    <row r="689">
      <c r="C689" s="123"/>
    </row>
    <row r="690">
      <c r="C690" s="123"/>
    </row>
    <row r="691">
      <c r="C691" s="123"/>
    </row>
    <row r="692">
      <c r="C692" s="123"/>
    </row>
    <row r="693">
      <c r="C693" s="123"/>
    </row>
    <row r="694">
      <c r="C694" s="123"/>
    </row>
    <row r="695">
      <c r="C695" s="123"/>
    </row>
    <row r="696">
      <c r="C696" s="123"/>
    </row>
    <row r="697">
      <c r="C697" s="123"/>
    </row>
    <row r="698">
      <c r="C698" s="123"/>
    </row>
    <row r="699">
      <c r="C699" s="123"/>
    </row>
    <row r="700">
      <c r="C700" s="123"/>
    </row>
    <row r="701">
      <c r="C701" s="123"/>
    </row>
    <row r="702">
      <c r="C702" s="123"/>
    </row>
    <row r="703">
      <c r="C703" s="123"/>
    </row>
    <row r="704">
      <c r="C704" s="123"/>
    </row>
    <row r="705">
      <c r="C705" s="123"/>
    </row>
    <row r="706">
      <c r="C706" s="123"/>
    </row>
    <row r="707">
      <c r="C707" s="123"/>
    </row>
    <row r="708">
      <c r="C708" s="123"/>
    </row>
    <row r="709">
      <c r="C709" s="123"/>
    </row>
    <row r="710">
      <c r="C710" s="123"/>
    </row>
    <row r="711">
      <c r="C711" s="123"/>
    </row>
    <row r="712">
      <c r="C712" s="123"/>
    </row>
    <row r="713">
      <c r="C713" s="123"/>
    </row>
    <row r="714">
      <c r="C714" s="123"/>
    </row>
    <row r="715">
      <c r="C715" s="123"/>
    </row>
    <row r="716">
      <c r="C716" s="123"/>
    </row>
    <row r="717">
      <c r="C717" s="123"/>
    </row>
    <row r="718">
      <c r="C718" s="123"/>
    </row>
    <row r="719">
      <c r="C719" s="123"/>
    </row>
    <row r="720">
      <c r="C720" s="123"/>
    </row>
    <row r="721">
      <c r="C721" s="123"/>
    </row>
    <row r="722">
      <c r="C722" s="123"/>
    </row>
    <row r="723">
      <c r="C723" s="123"/>
    </row>
    <row r="724">
      <c r="C724" s="123"/>
    </row>
    <row r="725">
      <c r="C725" s="123"/>
    </row>
    <row r="726">
      <c r="C726" s="123"/>
    </row>
    <row r="727">
      <c r="C727" s="123"/>
    </row>
    <row r="728">
      <c r="C728" s="123"/>
    </row>
    <row r="729">
      <c r="C729" s="123"/>
    </row>
    <row r="730">
      <c r="C730" s="123"/>
    </row>
    <row r="731">
      <c r="C731" s="123"/>
    </row>
    <row r="732">
      <c r="C732" s="123"/>
    </row>
    <row r="733">
      <c r="C733" s="123"/>
    </row>
    <row r="734">
      <c r="C734" s="123"/>
    </row>
    <row r="735">
      <c r="C735" s="123"/>
    </row>
    <row r="736">
      <c r="C736" s="123"/>
    </row>
    <row r="737">
      <c r="C737" s="123"/>
    </row>
    <row r="738">
      <c r="C738" s="123"/>
    </row>
    <row r="739">
      <c r="C739" s="123"/>
    </row>
    <row r="740">
      <c r="C740" s="123"/>
    </row>
    <row r="741">
      <c r="C741" s="123"/>
    </row>
    <row r="742">
      <c r="C742" s="123"/>
    </row>
    <row r="743">
      <c r="C743" s="123"/>
    </row>
    <row r="744">
      <c r="C744" s="123"/>
    </row>
    <row r="745">
      <c r="C745" s="123"/>
    </row>
    <row r="746">
      <c r="C746" s="123"/>
    </row>
    <row r="747">
      <c r="C747" s="123"/>
    </row>
    <row r="748">
      <c r="C748" s="123"/>
    </row>
    <row r="749">
      <c r="C749" s="123"/>
    </row>
    <row r="750">
      <c r="C750" s="123"/>
    </row>
    <row r="751">
      <c r="C751" s="123"/>
    </row>
    <row r="752">
      <c r="C752" s="123"/>
    </row>
    <row r="753">
      <c r="C753" s="123"/>
    </row>
    <row r="754">
      <c r="C754" s="123"/>
    </row>
    <row r="755">
      <c r="C755" s="123"/>
    </row>
    <row r="756">
      <c r="C756" s="123"/>
    </row>
    <row r="757">
      <c r="C757" s="123"/>
    </row>
    <row r="758">
      <c r="C758" s="123"/>
    </row>
    <row r="759">
      <c r="C759" s="123"/>
    </row>
    <row r="760">
      <c r="C760" s="123"/>
    </row>
    <row r="761">
      <c r="C761" s="123"/>
    </row>
    <row r="762">
      <c r="C762" s="123"/>
    </row>
    <row r="763">
      <c r="C763" s="123"/>
    </row>
    <row r="764">
      <c r="C764" s="123"/>
    </row>
    <row r="765">
      <c r="C765" s="123"/>
    </row>
    <row r="766">
      <c r="C766" s="123"/>
    </row>
    <row r="767">
      <c r="C767" s="123"/>
    </row>
    <row r="768">
      <c r="C768" s="123"/>
    </row>
    <row r="769">
      <c r="C769" s="123"/>
    </row>
    <row r="770">
      <c r="C770" s="123"/>
    </row>
    <row r="771">
      <c r="C771" s="123"/>
    </row>
    <row r="772">
      <c r="C772" s="123"/>
    </row>
    <row r="773">
      <c r="C773" s="123"/>
    </row>
    <row r="774">
      <c r="C774" s="123"/>
    </row>
    <row r="775">
      <c r="C775" s="123"/>
    </row>
    <row r="776">
      <c r="C776" s="123"/>
    </row>
    <row r="777">
      <c r="C777" s="123"/>
    </row>
    <row r="778">
      <c r="C778" s="123"/>
    </row>
    <row r="779">
      <c r="C779" s="123"/>
    </row>
    <row r="780">
      <c r="C780" s="123"/>
    </row>
    <row r="781">
      <c r="C781" s="123"/>
    </row>
    <row r="782">
      <c r="C782" s="123"/>
    </row>
    <row r="783">
      <c r="C783" s="123"/>
    </row>
    <row r="784">
      <c r="C784" s="123"/>
    </row>
    <row r="785">
      <c r="C785" s="123"/>
    </row>
    <row r="786">
      <c r="C786" s="123"/>
    </row>
    <row r="787">
      <c r="C787" s="123"/>
    </row>
    <row r="788">
      <c r="C788" s="123"/>
    </row>
    <row r="789">
      <c r="C789" s="123"/>
    </row>
    <row r="790">
      <c r="C790" s="123"/>
    </row>
    <row r="791">
      <c r="C791" s="123"/>
    </row>
    <row r="792">
      <c r="C792" s="123"/>
    </row>
    <row r="793">
      <c r="C793" s="123"/>
    </row>
    <row r="794">
      <c r="C794" s="123"/>
    </row>
    <row r="795">
      <c r="C795" s="123"/>
    </row>
    <row r="796">
      <c r="C796" s="123"/>
    </row>
    <row r="797">
      <c r="C797" s="123"/>
    </row>
    <row r="798">
      <c r="C798" s="123"/>
    </row>
    <row r="799">
      <c r="C799" s="123"/>
    </row>
    <row r="800">
      <c r="C800" s="123"/>
    </row>
    <row r="801">
      <c r="C801" s="123"/>
    </row>
    <row r="802">
      <c r="C802" s="123"/>
    </row>
    <row r="803">
      <c r="C803" s="123"/>
    </row>
    <row r="804">
      <c r="C804" s="123"/>
    </row>
    <row r="805">
      <c r="C805" s="123"/>
    </row>
    <row r="806">
      <c r="C806" s="123"/>
    </row>
    <row r="807">
      <c r="C807" s="123"/>
    </row>
    <row r="808">
      <c r="C808" s="123"/>
    </row>
    <row r="809">
      <c r="C809" s="123"/>
    </row>
    <row r="810">
      <c r="C810" s="123"/>
    </row>
    <row r="811">
      <c r="C811" s="123"/>
    </row>
    <row r="812">
      <c r="C812" s="123"/>
    </row>
    <row r="813">
      <c r="C813" s="123"/>
    </row>
    <row r="814">
      <c r="C814" s="123"/>
    </row>
    <row r="815">
      <c r="C815" s="123"/>
    </row>
    <row r="816">
      <c r="C816" s="123"/>
    </row>
    <row r="817">
      <c r="C817" s="123"/>
    </row>
    <row r="818">
      <c r="C818" s="123"/>
    </row>
    <row r="819">
      <c r="C819" s="123"/>
    </row>
    <row r="820">
      <c r="C820" s="123"/>
    </row>
    <row r="821">
      <c r="C821" s="123"/>
    </row>
    <row r="822">
      <c r="C822" s="123"/>
    </row>
    <row r="823">
      <c r="C823" s="123"/>
    </row>
    <row r="824">
      <c r="C824" s="123"/>
    </row>
    <row r="825">
      <c r="C825" s="123"/>
    </row>
    <row r="826">
      <c r="C826" s="123"/>
    </row>
    <row r="827">
      <c r="C827" s="123"/>
    </row>
    <row r="828">
      <c r="C828" s="123"/>
    </row>
    <row r="829">
      <c r="C829" s="123"/>
    </row>
    <row r="830">
      <c r="C830" s="123"/>
    </row>
    <row r="831">
      <c r="C831" s="123"/>
    </row>
    <row r="832">
      <c r="C832" s="123"/>
    </row>
    <row r="833">
      <c r="C833" s="123"/>
    </row>
    <row r="834">
      <c r="C834" s="123"/>
    </row>
    <row r="835">
      <c r="C835" s="123"/>
    </row>
    <row r="836">
      <c r="C836" s="123"/>
    </row>
    <row r="837">
      <c r="C837" s="123"/>
    </row>
    <row r="838">
      <c r="C838" s="123"/>
    </row>
    <row r="839">
      <c r="C839" s="123"/>
    </row>
    <row r="840">
      <c r="C840" s="123"/>
    </row>
    <row r="841">
      <c r="C841" s="123"/>
    </row>
    <row r="842">
      <c r="C842" s="123"/>
    </row>
    <row r="843">
      <c r="C843" s="123"/>
    </row>
    <row r="844">
      <c r="C844" s="123"/>
    </row>
    <row r="845">
      <c r="C845" s="123"/>
    </row>
    <row r="846">
      <c r="C846" s="123"/>
    </row>
    <row r="847">
      <c r="C847" s="123"/>
    </row>
    <row r="848">
      <c r="C848" s="123"/>
    </row>
    <row r="849">
      <c r="C849" s="123"/>
    </row>
    <row r="850">
      <c r="C850" s="123"/>
    </row>
    <row r="851">
      <c r="C851" s="123"/>
    </row>
    <row r="852">
      <c r="C852" s="123"/>
    </row>
    <row r="853">
      <c r="C853" s="123"/>
    </row>
    <row r="854">
      <c r="C854" s="123"/>
    </row>
    <row r="855">
      <c r="C855" s="123"/>
    </row>
    <row r="856">
      <c r="C856" s="123"/>
    </row>
    <row r="857">
      <c r="C857" s="123"/>
    </row>
    <row r="858">
      <c r="C858" s="123"/>
    </row>
    <row r="859">
      <c r="C859" s="123"/>
    </row>
    <row r="860">
      <c r="C860" s="123"/>
    </row>
    <row r="861">
      <c r="C861" s="123"/>
    </row>
    <row r="862">
      <c r="C862" s="123"/>
    </row>
    <row r="863">
      <c r="C863" s="123"/>
    </row>
    <row r="864">
      <c r="C864" s="123"/>
    </row>
    <row r="865">
      <c r="C865" s="123"/>
    </row>
    <row r="866">
      <c r="C866" s="123"/>
    </row>
    <row r="867">
      <c r="C867" s="123"/>
    </row>
    <row r="868">
      <c r="C868" s="123"/>
    </row>
    <row r="869">
      <c r="C869" s="123"/>
    </row>
    <row r="870">
      <c r="C870" s="123"/>
    </row>
    <row r="871">
      <c r="C871" s="123"/>
    </row>
    <row r="872">
      <c r="C872" s="123"/>
    </row>
    <row r="873">
      <c r="C873" s="123"/>
    </row>
    <row r="874">
      <c r="C874" s="123"/>
    </row>
    <row r="875">
      <c r="C875" s="123"/>
    </row>
    <row r="876">
      <c r="C876" s="123"/>
    </row>
    <row r="877">
      <c r="C877" s="123"/>
    </row>
    <row r="878">
      <c r="C878" s="123"/>
    </row>
    <row r="879">
      <c r="C879" s="123"/>
    </row>
    <row r="880">
      <c r="C880" s="123"/>
    </row>
    <row r="881">
      <c r="C881" s="123"/>
    </row>
    <row r="882">
      <c r="C882" s="123"/>
    </row>
    <row r="883">
      <c r="C883" s="123"/>
    </row>
    <row r="884">
      <c r="C884" s="123"/>
    </row>
    <row r="885">
      <c r="C885" s="123"/>
    </row>
    <row r="886">
      <c r="C886" s="123"/>
    </row>
    <row r="887">
      <c r="C887" s="123"/>
    </row>
    <row r="888">
      <c r="C888" s="123"/>
    </row>
    <row r="889">
      <c r="C889" s="123"/>
    </row>
    <row r="890">
      <c r="C890" s="123"/>
    </row>
    <row r="891">
      <c r="C891" s="123"/>
    </row>
    <row r="892">
      <c r="C892" s="123"/>
    </row>
    <row r="893">
      <c r="C893" s="123"/>
    </row>
    <row r="894">
      <c r="C894" s="123"/>
    </row>
    <row r="895">
      <c r="C895" s="123"/>
    </row>
    <row r="896">
      <c r="C896" s="123"/>
    </row>
    <row r="897">
      <c r="C897" s="123"/>
    </row>
    <row r="898">
      <c r="C898" s="123"/>
    </row>
    <row r="899">
      <c r="C899" s="123"/>
    </row>
    <row r="900">
      <c r="C900" s="123"/>
    </row>
    <row r="901">
      <c r="C901" s="123"/>
    </row>
    <row r="902">
      <c r="C902" s="123"/>
    </row>
    <row r="903">
      <c r="C903" s="123"/>
    </row>
    <row r="904">
      <c r="C904" s="123"/>
    </row>
    <row r="905">
      <c r="C905" s="123"/>
    </row>
    <row r="906">
      <c r="C906" s="123"/>
    </row>
    <row r="907">
      <c r="C907" s="123"/>
    </row>
    <row r="908">
      <c r="C908" s="123"/>
    </row>
    <row r="909">
      <c r="C909" s="123"/>
    </row>
    <row r="910">
      <c r="C910" s="123"/>
    </row>
    <row r="911">
      <c r="C911" s="123"/>
    </row>
    <row r="912">
      <c r="C912" s="123"/>
    </row>
    <row r="913">
      <c r="C913" s="123"/>
    </row>
    <row r="914">
      <c r="C914" s="123"/>
    </row>
    <row r="915">
      <c r="C915" s="123"/>
    </row>
    <row r="916">
      <c r="C916" s="123"/>
    </row>
    <row r="917">
      <c r="C917" s="123"/>
    </row>
    <row r="918">
      <c r="C918" s="123"/>
    </row>
    <row r="919">
      <c r="C919" s="123"/>
    </row>
    <row r="920">
      <c r="C920" s="123"/>
    </row>
    <row r="921">
      <c r="C921" s="123"/>
    </row>
    <row r="922">
      <c r="C922" s="123"/>
    </row>
    <row r="923">
      <c r="C923" s="123"/>
    </row>
    <row r="924">
      <c r="C924" s="123"/>
    </row>
    <row r="925">
      <c r="C925" s="123"/>
    </row>
    <row r="926">
      <c r="C926" s="123"/>
    </row>
    <row r="927">
      <c r="C927" s="123"/>
    </row>
    <row r="928">
      <c r="C928" s="123"/>
    </row>
    <row r="929">
      <c r="C929" s="123"/>
    </row>
    <row r="930">
      <c r="C930" s="123"/>
    </row>
    <row r="931">
      <c r="C931" s="123"/>
    </row>
    <row r="932">
      <c r="C932" s="123"/>
    </row>
    <row r="933">
      <c r="C933" s="123"/>
    </row>
    <row r="934">
      <c r="C934" s="123"/>
    </row>
    <row r="935">
      <c r="C935" s="123"/>
    </row>
    <row r="936">
      <c r="C936" s="123"/>
    </row>
    <row r="937">
      <c r="C937" s="123"/>
    </row>
    <row r="938">
      <c r="C938" s="123"/>
    </row>
    <row r="939">
      <c r="C939" s="123"/>
    </row>
    <row r="940">
      <c r="C940" s="123"/>
    </row>
    <row r="941">
      <c r="C941" s="123"/>
    </row>
    <row r="942">
      <c r="C942" s="123"/>
    </row>
    <row r="943">
      <c r="C943" s="123"/>
    </row>
    <row r="944">
      <c r="C944" s="123"/>
    </row>
    <row r="945">
      <c r="C945" s="123"/>
    </row>
    <row r="946">
      <c r="C946" s="123"/>
    </row>
    <row r="947">
      <c r="C947" s="123"/>
    </row>
    <row r="948">
      <c r="C948" s="123"/>
    </row>
    <row r="949">
      <c r="C949" s="123"/>
    </row>
    <row r="950">
      <c r="C950" s="123"/>
    </row>
    <row r="951">
      <c r="C951" s="123"/>
    </row>
    <row r="952">
      <c r="C952" s="123"/>
    </row>
    <row r="953">
      <c r="C953" s="123"/>
    </row>
    <row r="954">
      <c r="C954" s="123"/>
    </row>
    <row r="955">
      <c r="C955" s="123"/>
    </row>
    <row r="956">
      <c r="C956" s="123"/>
    </row>
    <row r="957">
      <c r="C957" s="123"/>
    </row>
    <row r="958">
      <c r="C958" s="123"/>
    </row>
    <row r="959">
      <c r="C959" s="123"/>
    </row>
    <row r="960">
      <c r="C960" s="123"/>
    </row>
    <row r="961">
      <c r="C961" s="123"/>
    </row>
    <row r="962">
      <c r="C962" s="123"/>
    </row>
    <row r="963">
      <c r="C963" s="123"/>
    </row>
    <row r="964">
      <c r="C964" s="123"/>
    </row>
    <row r="965">
      <c r="C965" s="123"/>
    </row>
    <row r="966">
      <c r="C966" s="123"/>
    </row>
    <row r="967">
      <c r="C967" s="123"/>
    </row>
    <row r="968">
      <c r="C968" s="123"/>
    </row>
    <row r="969">
      <c r="C969" s="123"/>
    </row>
    <row r="970">
      <c r="C970" s="123"/>
    </row>
    <row r="971">
      <c r="C971" s="123"/>
    </row>
    <row r="972">
      <c r="C972" s="123"/>
    </row>
    <row r="973">
      <c r="C973" s="123"/>
    </row>
    <row r="974">
      <c r="C974" s="123"/>
    </row>
    <row r="975">
      <c r="C975" s="123"/>
    </row>
    <row r="976">
      <c r="C976" s="123"/>
    </row>
    <row r="977">
      <c r="C977" s="123"/>
    </row>
    <row r="978">
      <c r="C978" s="123"/>
    </row>
    <row r="979">
      <c r="C979" s="123"/>
    </row>
    <row r="980">
      <c r="C980" s="123"/>
    </row>
    <row r="981">
      <c r="C981" s="123"/>
    </row>
    <row r="982">
      <c r="C982" s="123"/>
    </row>
    <row r="983">
      <c r="C983" s="123"/>
    </row>
    <row r="984">
      <c r="C984" s="123"/>
    </row>
    <row r="985">
      <c r="C985" s="123"/>
    </row>
    <row r="986">
      <c r="C986" s="123"/>
    </row>
    <row r="987">
      <c r="C987" s="123"/>
    </row>
    <row r="988">
      <c r="C988" s="123"/>
    </row>
    <row r="989">
      <c r="C989" s="123"/>
    </row>
    <row r="990">
      <c r="C990" s="123"/>
    </row>
    <row r="991">
      <c r="C991" s="123"/>
    </row>
    <row r="992">
      <c r="C992" s="123"/>
    </row>
    <row r="993">
      <c r="C993" s="123"/>
    </row>
    <row r="994">
      <c r="C994" s="123"/>
    </row>
    <row r="995">
      <c r="C995" s="123"/>
    </row>
    <row r="996">
      <c r="C996" s="123"/>
    </row>
    <row r="997">
      <c r="C997" s="123"/>
    </row>
    <row r="998">
      <c r="C998" s="123"/>
    </row>
    <row r="999">
      <c r="C999" s="123"/>
    </row>
    <row r="1000">
      <c r="C1000" s="123"/>
    </row>
  </sheetData>
  <mergeCells count="1">
    <mergeCell ref="A1:P1"/>
  </mergeCells>
  <conditionalFormatting sqref="C3:O38">
    <cfRule type="cellIs" dxfId="1" priority="1" operator="equal">
      <formula>0</formula>
    </cfRule>
  </conditionalFormatting>
  <conditionalFormatting sqref="P6">
    <cfRule type="cellIs" dxfId="1" priority="2" operator="equal">
      <formula>0</formula>
    </cfRule>
  </conditionalFormatting>
  <conditionalFormatting sqref="P27">
    <cfRule type="cellIs" dxfId="1" priority="3" operator="equal">
      <formula>0</formula>
    </cfRule>
  </conditionalFormatting>
  <conditionalFormatting sqref="P33">
    <cfRule type="cellIs" dxfId="1" priority="4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75"/>
    <col customWidth="1" min="3" max="3" width="13.38"/>
    <col customWidth="1" min="4" max="4" width="14.88"/>
    <col customWidth="1" min="5" max="7" width="8.63"/>
    <col customWidth="1" min="8" max="8" width="14.63"/>
    <col customWidth="1" min="9" max="10" width="8.63"/>
    <col customWidth="1" min="11" max="11" width="9.63"/>
    <col customWidth="1" min="12" max="12" width="8.75"/>
    <col customWidth="1" min="13" max="13" width="8.25"/>
    <col customWidth="1" min="14" max="14" width="12.75"/>
    <col customWidth="1" min="15" max="26" width="8.63"/>
  </cols>
  <sheetData>
    <row r="1" ht="12.75" customHeight="1">
      <c r="A1" s="124" t="s">
        <v>73</v>
      </c>
      <c r="B1" s="18"/>
      <c r="C1" s="125">
        <v>32.0</v>
      </c>
      <c r="D1" s="126"/>
      <c r="E1" s="18"/>
    </row>
    <row r="2" ht="12.75" customHeight="1">
      <c r="A2" s="127" t="s">
        <v>210</v>
      </c>
      <c r="B2" s="126"/>
      <c r="C2" s="126"/>
      <c r="D2" s="126"/>
      <c r="E2" s="18"/>
      <c r="J2" s="16" t="s">
        <v>211</v>
      </c>
      <c r="K2" s="16" t="s">
        <v>212</v>
      </c>
      <c r="L2" s="16" t="s">
        <v>213</v>
      </c>
      <c r="M2" s="16" t="s">
        <v>214</v>
      </c>
    </row>
    <row r="3" ht="12.75" customHeight="1">
      <c r="A3" s="128" t="s">
        <v>215</v>
      </c>
      <c r="B3" s="128" t="s">
        <v>216</v>
      </c>
      <c r="C3" s="128" t="s">
        <v>217</v>
      </c>
      <c r="D3" s="128" t="s">
        <v>218</v>
      </c>
      <c r="E3" s="128" t="s">
        <v>219</v>
      </c>
      <c r="H3" s="128" t="s">
        <v>220</v>
      </c>
      <c r="I3" s="128" t="s">
        <v>221</v>
      </c>
    </row>
    <row r="4" ht="12.75" customHeight="1">
      <c r="A4" s="129" t="s">
        <v>222</v>
      </c>
      <c r="B4" s="130" t="s">
        <v>88</v>
      </c>
      <c r="C4" s="129" t="s">
        <v>66</v>
      </c>
      <c r="D4" s="130" t="s">
        <v>111</v>
      </c>
      <c r="E4" s="130" t="s">
        <v>223</v>
      </c>
      <c r="H4" s="128" t="s">
        <v>215</v>
      </c>
      <c r="I4" s="130">
        <f t="shared" ref="I4:I8" si="1">J4+K4+L4+M4</f>
        <v>2</v>
      </c>
      <c r="K4" s="73">
        <v>1.0</v>
      </c>
      <c r="M4" s="16">
        <v>1.0</v>
      </c>
      <c r="N4" s="16" t="s">
        <v>224</v>
      </c>
    </row>
    <row r="5" ht="12.75" customHeight="1">
      <c r="A5" s="130"/>
      <c r="B5" s="130" t="s">
        <v>225</v>
      </c>
      <c r="C5" s="130" t="s">
        <v>226</v>
      </c>
      <c r="D5" s="130" t="s">
        <v>56</v>
      </c>
      <c r="E5" s="130" t="s">
        <v>227</v>
      </c>
      <c r="H5" s="128" t="s">
        <v>216</v>
      </c>
      <c r="I5" s="130">
        <f t="shared" si="1"/>
        <v>6</v>
      </c>
      <c r="J5" s="73">
        <v>2.0</v>
      </c>
      <c r="K5" s="73">
        <v>3.0</v>
      </c>
      <c r="M5" s="73">
        <v>1.0</v>
      </c>
      <c r="N5" s="16" t="s">
        <v>109</v>
      </c>
    </row>
    <row r="6" ht="12.75" customHeight="1">
      <c r="A6" s="130"/>
      <c r="B6" s="130" t="s">
        <v>24</v>
      </c>
      <c r="C6" s="130" t="s">
        <v>53</v>
      </c>
      <c r="D6" s="130" t="s">
        <v>228</v>
      </c>
      <c r="E6" s="130"/>
      <c r="H6" s="128" t="s">
        <v>217</v>
      </c>
      <c r="I6" s="130">
        <f t="shared" si="1"/>
        <v>27</v>
      </c>
      <c r="J6" s="73">
        <v>6.0</v>
      </c>
      <c r="K6" s="73">
        <v>18.0</v>
      </c>
      <c r="L6" s="73">
        <v>2.0</v>
      </c>
      <c r="M6" s="73">
        <v>1.0</v>
      </c>
      <c r="N6" s="16" t="s">
        <v>58</v>
      </c>
    </row>
    <row r="7" ht="12.75" customHeight="1">
      <c r="A7" s="130"/>
      <c r="B7" s="130"/>
      <c r="C7" s="130" t="s">
        <v>16</v>
      </c>
      <c r="D7" s="130" t="s">
        <v>229</v>
      </c>
      <c r="E7" s="130"/>
      <c r="H7" s="128" t="s">
        <v>218</v>
      </c>
      <c r="I7" s="130">
        <f t="shared" si="1"/>
        <v>12</v>
      </c>
      <c r="J7" s="73">
        <v>2.0</v>
      </c>
      <c r="K7" s="73">
        <v>8.0</v>
      </c>
      <c r="M7" s="73">
        <v>2.0</v>
      </c>
      <c r="N7" s="16" t="s">
        <v>230</v>
      </c>
      <c r="O7" s="16" t="s">
        <v>231</v>
      </c>
    </row>
    <row r="8" ht="12.75" customHeight="1">
      <c r="A8" s="130"/>
      <c r="B8" s="130"/>
      <c r="C8" s="130" t="s">
        <v>232</v>
      </c>
      <c r="D8" s="130" t="s">
        <v>233</v>
      </c>
      <c r="E8" s="130"/>
      <c r="H8" s="128" t="s">
        <v>219</v>
      </c>
      <c r="I8" s="130">
        <f t="shared" si="1"/>
        <v>3</v>
      </c>
      <c r="K8" s="73">
        <v>2.0</v>
      </c>
      <c r="L8" s="73">
        <v>1.0</v>
      </c>
    </row>
    <row r="9" ht="12.75" customHeight="1">
      <c r="A9" s="130"/>
      <c r="B9" s="130"/>
      <c r="C9" s="130" t="s">
        <v>23</v>
      </c>
      <c r="D9" s="130" t="s">
        <v>234</v>
      </c>
      <c r="E9" s="130"/>
      <c r="I9" s="73">
        <f t="shared" ref="I9:M9" si="2">SUM(I4:I8)</f>
        <v>50</v>
      </c>
      <c r="J9" s="73">
        <f t="shared" si="2"/>
        <v>10</v>
      </c>
      <c r="K9" s="73">
        <f t="shared" si="2"/>
        <v>32</v>
      </c>
      <c r="L9" s="73">
        <f t="shared" si="2"/>
        <v>3</v>
      </c>
      <c r="M9" s="73">
        <f t="shared" si="2"/>
        <v>5</v>
      </c>
    </row>
    <row r="10" ht="12.75" customHeight="1">
      <c r="A10" s="130"/>
      <c r="B10" s="130"/>
      <c r="C10" s="130" t="s">
        <v>235</v>
      </c>
      <c r="D10" s="129" t="s">
        <v>236</v>
      </c>
      <c r="E10" s="130"/>
    </row>
    <row r="11" ht="12.75" customHeight="1">
      <c r="A11" s="130"/>
      <c r="B11" s="130"/>
      <c r="C11" s="130" t="s">
        <v>59</v>
      </c>
      <c r="D11" s="129" t="s">
        <v>237</v>
      </c>
      <c r="E11" s="130"/>
      <c r="L11" s="16" t="s">
        <v>238</v>
      </c>
    </row>
    <row r="12" ht="12.75" customHeight="1">
      <c r="A12" s="130"/>
      <c r="B12" s="130"/>
      <c r="C12" s="130" t="s">
        <v>239</v>
      </c>
      <c r="D12" s="130" t="s">
        <v>120</v>
      </c>
      <c r="E12" s="130"/>
      <c r="L12" s="16" t="s">
        <v>240</v>
      </c>
    </row>
    <row r="13" ht="12.75" customHeight="1">
      <c r="A13" s="130"/>
      <c r="B13" s="130"/>
      <c r="C13" s="130" t="s">
        <v>241</v>
      </c>
      <c r="D13" s="130"/>
      <c r="E13" s="130"/>
      <c r="L13" s="16" t="s">
        <v>242</v>
      </c>
    </row>
    <row r="14" ht="12.75" customHeight="1">
      <c r="A14" s="130"/>
      <c r="B14" s="130"/>
      <c r="C14" s="130" t="s">
        <v>112</v>
      </c>
      <c r="D14" s="130"/>
      <c r="E14" s="130"/>
    </row>
    <row r="15" ht="12.75" customHeight="1">
      <c r="A15" s="130"/>
      <c r="B15" s="130"/>
      <c r="C15" s="130" t="s">
        <v>243</v>
      </c>
      <c r="D15" s="130"/>
      <c r="E15" s="130"/>
      <c r="H15" s="128" t="s">
        <v>220</v>
      </c>
      <c r="I15" s="131" t="s">
        <v>215</v>
      </c>
      <c r="J15" s="131" t="s">
        <v>216</v>
      </c>
      <c r="K15" s="131" t="s">
        <v>217</v>
      </c>
      <c r="L15" s="131" t="s">
        <v>218</v>
      </c>
      <c r="M15" s="131" t="s">
        <v>219</v>
      </c>
      <c r="N15" s="132" t="s">
        <v>73</v>
      </c>
    </row>
    <row r="16" ht="12.75" customHeight="1">
      <c r="A16" s="130"/>
      <c r="B16" s="130"/>
      <c r="C16" s="130" t="s">
        <v>244</v>
      </c>
      <c r="D16" s="130"/>
      <c r="E16" s="130"/>
      <c r="H16" s="128" t="s">
        <v>245</v>
      </c>
      <c r="I16" s="10">
        <v>1.0</v>
      </c>
      <c r="J16" s="10">
        <v>4.0</v>
      </c>
      <c r="K16" s="10">
        <v>8.0</v>
      </c>
      <c r="L16" s="10">
        <v>3.0</v>
      </c>
      <c r="M16" s="10">
        <v>1.0</v>
      </c>
      <c r="N16" s="10">
        <f t="shared" ref="N16:N17" si="3">SUM(I16:M16)</f>
        <v>17</v>
      </c>
    </row>
    <row r="17" ht="12.75" customHeight="1">
      <c r="A17" s="130"/>
      <c r="B17" s="130"/>
      <c r="C17" s="130" t="s">
        <v>246</v>
      </c>
      <c r="D17" s="130"/>
      <c r="E17" s="130"/>
      <c r="H17" s="128" t="s">
        <v>247</v>
      </c>
      <c r="I17" s="10">
        <v>0.0</v>
      </c>
      <c r="J17" s="10">
        <v>2.0</v>
      </c>
      <c r="K17" s="14">
        <v>1.0</v>
      </c>
      <c r="L17" s="10">
        <v>3.0</v>
      </c>
      <c r="M17" s="10">
        <v>0.0</v>
      </c>
      <c r="N17" s="10">
        <f t="shared" si="3"/>
        <v>6</v>
      </c>
    </row>
    <row r="18" ht="12.75" customHeight="1">
      <c r="A18" s="130"/>
      <c r="B18" s="130"/>
      <c r="C18" s="129" t="s">
        <v>248</v>
      </c>
      <c r="D18" s="130"/>
      <c r="E18" s="130"/>
      <c r="I18" s="16" t="s">
        <v>224</v>
      </c>
      <c r="J18" s="16" t="s">
        <v>242</v>
      </c>
      <c r="K18" s="16" t="s">
        <v>249</v>
      </c>
      <c r="M18" s="16" t="s">
        <v>240</v>
      </c>
    </row>
    <row r="19" ht="12.75" customHeight="1">
      <c r="A19" s="130"/>
      <c r="B19" s="130"/>
      <c r="C19" s="130" t="s">
        <v>25</v>
      </c>
      <c r="D19" s="130"/>
      <c r="E19" s="130"/>
      <c r="J19" s="73" t="s">
        <v>250</v>
      </c>
      <c r="K19" s="16" t="s">
        <v>231</v>
      </c>
    </row>
    <row r="20" ht="12.75" customHeight="1">
      <c r="A20" s="130"/>
      <c r="B20" s="130"/>
      <c r="C20" s="130" t="s">
        <v>251</v>
      </c>
      <c r="D20" s="130"/>
      <c r="E20" s="130"/>
      <c r="J20" s="16"/>
      <c r="K20" s="16" t="s">
        <v>252</v>
      </c>
    </row>
    <row r="21" ht="12.75" customHeight="1">
      <c r="A21" s="130"/>
      <c r="B21" s="130"/>
      <c r="C21" s="130" t="s">
        <v>253</v>
      </c>
      <c r="D21" s="130"/>
      <c r="E21" s="130"/>
      <c r="K21" s="16" t="s">
        <v>254</v>
      </c>
    </row>
    <row r="22" ht="12.75" customHeight="1">
      <c r="A22" s="130"/>
      <c r="B22" s="130"/>
      <c r="C22" s="129" t="s">
        <v>255</v>
      </c>
      <c r="D22" s="130"/>
      <c r="E22" s="130"/>
      <c r="K22" s="16" t="s">
        <v>255</v>
      </c>
    </row>
    <row r="23" ht="12.75" customHeight="1">
      <c r="A23" s="133">
        <v>1.0</v>
      </c>
      <c r="B23" s="133">
        <v>3.0</v>
      </c>
      <c r="C23" s="133">
        <v>19.0</v>
      </c>
      <c r="D23" s="133">
        <v>9.0</v>
      </c>
      <c r="E23" s="133">
        <v>2.0</v>
      </c>
      <c r="K23" s="73" t="s">
        <v>256</v>
      </c>
    </row>
    <row r="24" ht="12.75" customHeight="1">
      <c r="K24" s="134" t="s">
        <v>252</v>
      </c>
    </row>
    <row r="25" ht="44.25" customHeight="1">
      <c r="A25" s="135" t="s">
        <v>257</v>
      </c>
      <c r="B25" s="126"/>
      <c r="C25" s="126"/>
      <c r="D25" s="18"/>
    </row>
    <row r="26" ht="12.75" customHeight="1">
      <c r="A26" s="136" t="s">
        <v>258</v>
      </c>
      <c r="B26" s="136" t="s">
        <v>259</v>
      </c>
      <c r="C26" s="136" t="s">
        <v>260</v>
      </c>
      <c r="D26" s="136" t="s">
        <v>261</v>
      </c>
    </row>
    <row r="27" ht="12.75" customHeight="1">
      <c r="A27" s="137">
        <v>1.0</v>
      </c>
      <c r="B27" s="138" t="s">
        <v>262</v>
      </c>
      <c r="C27" s="137" t="s">
        <v>263</v>
      </c>
      <c r="D27" s="139">
        <v>1.0</v>
      </c>
    </row>
    <row r="28" ht="12.75" customHeight="1">
      <c r="A28" s="137">
        <v>2.0</v>
      </c>
      <c r="B28" s="138" t="s">
        <v>241</v>
      </c>
      <c r="C28" s="137" t="s">
        <v>264</v>
      </c>
      <c r="D28" s="140" t="s">
        <v>265</v>
      </c>
    </row>
    <row r="29" ht="12.75" customHeight="1">
      <c r="A29" s="137">
        <v>3.0</v>
      </c>
      <c r="B29" s="141" t="s">
        <v>115</v>
      </c>
      <c r="C29" s="137" t="s">
        <v>266</v>
      </c>
      <c r="D29" s="140" t="s">
        <v>267</v>
      </c>
      <c r="E29" s="142"/>
    </row>
    <row r="30" ht="12.75" customHeight="1">
      <c r="A30" s="137">
        <v>4.0</v>
      </c>
      <c r="B30" s="138" t="s">
        <v>69</v>
      </c>
      <c r="C30" s="137" t="s">
        <v>264</v>
      </c>
      <c r="D30" s="140" t="s">
        <v>268</v>
      </c>
    </row>
    <row r="31" ht="12.75" customHeight="1">
      <c r="A31" s="137">
        <v>5.0</v>
      </c>
      <c r="B31" s="138" t="s">
        <v>67</v>
      </c>
      <c r="C31" s="137" t="s">
        <v>263</v>
      </c>
      <c r="D31" s="140" t="s">
        <v>269</v>
      </c>
    </row>
    <row r="32" ht="12.75" customHeight="1">
      <c r="A32" s="137">
        <v>6.0</v>
      </c>
      <c r="B32" s="138" t="s">
        <v>270</v>
      </c>
      <c r="C32" s="137" t="s">
        <v>271</v>
      </c>
      <c r="D32" s="139" t="s">
        <v>272</v>
      </c>
    </row>
    <row r="33" ht="12.75" customHeight="1">
      <c r="A33" s="137">
        <v>7.0</v>
      </c>
      <c r="B33" s="138" t="s">
        <v>273</v>
      </c>
      <c r="C33" s="137" t="s">
        <v>264</v>
      </c>
      <c r="D33" s="140" t="s">
        <v>274</v>
      </c>
    </row>
    <row r="34" ht="12.75" customHeight="1">
      <c r="A34" s="137">
        <v>8.0</v>
      </c>
      <c r="B34" s="141" t="s">
        <v>66</v>
      </c>
      <c r="C34" s="137" t="s">
        <v>264</v>
      </c>
      <c r="D34" s="140" t="s">
        <v>275</v>
      </c>
      <c r="E34" s="142"/>
    </row>
    <row r="35" ht="12.75" customHeight="1">
      <c r="A35" s="137">
        <v>9.0</v>
      </c>
      <c r="B35" s="138" t="s">
        <v>127</v>
      </c>
      <c r="C35" s="137" t="s">
        <v>264</v>
      </c>
      <c r="D35" s="140" t="s">
        <v>276</v>
      </c>
    </row>
    <row r="36" ht="12.75" customHeight="1">
      <c r="A36" s="137">
        <v>10.0</v>
      </c>
      <c r="B36" s="138" t="s">
        <v>277</v>
      </c>
      <c r="C36" s="137" t="s">
        <v>271</v>
      </c>
      <c r="D36" s="139" t="s">
        <v>278</v>
      </c>
    </row>
    <row r="37" ht="12.75" customHeight="1">
      <c r="A37" s="137">
        <v>11.0</v>
      </c>
      <c r="B37" s="138" t="s">
        <v>68</v>
      </c>
      <c r="C37" s="137" t="s">
        <v>264</v>
      </c>
      <c r="D37" s="139">
        <v>12.0</v>
      </c>
    </row>
    <row r="38" ht="12.75" customHeight="1">
      <c r="A38" s="137">
        <v>12.0</v>
      </c>
      <c r="B38" s="141" t="s">
        <v>117</v>
      </c>
      <c r="C38" s="137" t="s">
        <v>263</v>
      </c>
      <c r="D38" s="143">
        <v>15.0</v>
      </c>
      <c r="E38" s="142"/>
    </row>
    <row r="39" ht="12.75" customHeight="1">
      <c r="A39" s="137">
        <v>13.0</v>
      </c>
      <c r="B39" s="141" t="s">
        <v>279</v>
      </c>
      <c r="C39" s="137" t="s">
        <v>263</v>
      </c>
      <c r="D39" s="143" t="s">
        <v>280</v>
      </c>
      <c r="E39" s="142"/>
    </row>
    <row r="40" ht="12.75" customHeight="1">
      <c r="A40" s="137">
        <v>14.0</v>
      </c>
      <c r="B40" s="141" t="s">
        <v>281</v>
      </c>
      <c r="C40" s="137" t="s">
        <v>264</v>
      </c>
      <c r="D40" s="139">
        <v>16.0</v>
      </c>
      <c r="E40" s="142"/>
    </row>
    <row r="41" ht="12.75" customHeight="1">
      <c r="A41" s="137">
        <v>15.0</v>
      </c>
      <c r="B41" s="138" t="s">
        <v>23</v>
      </c>
      <c r="C41" s="137" t="s">
        <v>264</v>
      </c>
      <c r="D41" s="140">
        <v>17.0</v>
      </c>
    </row>
    <row r="42" ht="12.75" customHeight="1">
      <c r="A42" s="137">
        <v>16.0</v>
      </c>
      <c r="B42" s="138" t="s">
        <v>282</v>
      </c>
      <c r="C42" s="137" t="s">
        <v>264</v>
      </c>
      <c r="D42" s="139">
        <v>18.0</v>
      </c>
    </row>
    <row r="43" ht="12.75" customHeight="1">
      <c r="A43" s="137">
        <v>17.0</v>
      </c>
      <c r="B43" s="138" t="s">
        <v>128</v>
      </c>
      <c r="C43" s="137" t="s">
        <v>283</v>
      </c>
      <c r="D43" s="140">
        <v>19.0</v>
      </c>
    </row>
    <row r="44" ht="12.75" customHeight="1">
      <c r="A44" s="137">
        <v>18.0</v>
      </c>
      <c r="B44" s="138" t="s">
        <v>123</v>
      </c>
      <c r="C44" s="137" t="s">
        <v>264</v>
      </c>
      <c r="D44" s="139">
        <v>20.0</v>
      </c>
    </row>
    <row r="45" ht="12.75" customHeight="1">
      <c r="A45" s="137">
        <v>19.0</v>
      </c>
      <c r="B45" s="138" t="s">
        <v>284</v>
      </c>
      <c r="C45" s="137" t="s">
        <v>264</v>
      </c>
      <c r="D45" s="139">
        <v>21.0</v>
      </c>
    </row>
    <row r="46" ht="12.75" customHeight="1">
      <c r="A46" s="137">
        <v>20.0</v>
      </c>
      <c r="B46" s="138" t="s">
        <v>285</v>
      </c>
      <c r="C46" s="137" t="s">
        <v>264</v>
      </c>
      <c r="D46" s="139">
        <v>23.0</v>
      </c>
    </row>
    <row r="47" ht="12.75" customHeight="1">
      <c r="A47" s="137">
        <v>21.0</v>
      </c>
      <c r="B47" s="141" t="s">
        <v>286</v>
      </c>
      <c r="C47" s="137" t="s">
        <v>263</v>
      </c>
      <c r="D47" s="139">
        <v>25.0</v>
      </c>
      <c r="E47" s="142"/>
    </row>
    <row r="48" ht="12.75" customHeight="1">
      <c r="A48" s="137">
        <v>22.0</v>
      </c>
      <c r="B48" s="138" t="s">
        <v>287</v>
      </c>
      <c r="C48" s="137" t="s">
        <v>264</v>
      </c>
      <c r="D48" s="140">
        <v>27.0</v>
      </c>
    </row>
    <row r="49" ht="12.75" customHeight="1">
      <c r="A49" s="137">
        <v>23.0</v>
      </c>
      <c r="B49" s="138" t="s">
        <v>119</v>
      </c>
      <c r="C49" s="137" t="s">
        <v>263</v>
      </c>
      <c r="D49" s="139" t="s">
        <v>288</v>
      </c>
    </row>
    <row r="50" ht="12.75" customHeight="1">
      <c r="A50" s="137">
        <v>24.0</v>
      </c>
      <c r="B50" s="141" t="s">
        <v>121</v>
      </c>
      <c r="C50" s="137" t="s">
        <v>264</v>
      </c>
      <c r="D50" s="139">
        <v>36.0</v>
      </c>
      <c r="E50" s="142"/>
    </row>
    <row r="51" ht="12.75" customHeight="1">
      <c r="A51" s="137">
        <v>25.0</v>
      </c>
      <c r="B51" s="138" t="s">
        <v>112</v>
      </c>
      <c r="C51" s="137" t="s">
        <v>264</v>
      </c>
      <c r="D51" s="139">
        <v>44.0</v>
      </c>
    </row>
    <row r="52" ht="12.75" customHeight="1">
      <c r="A52" s="137">
        <v>26.0</v>
      </c>
      <c r="B52" s="138" t="s">
        <v>289</v>
      </c>
      <c r="C52" s="137" t="s">
        <v>283</v>
      </c>
      <c r="D52" s="139">
        <v>55.0</v>
      </c>
    </row>
    <row r="53" ht="12.75" customHeight="1">
      <c r="A53" s="137">
        <v>27.0</v>
      </c>
      <c r="B53" s="138" t="s">
        <v>290</v>
      </c>
      <c r="C53" s="137" t="s">
        <v>283</v>
      </c>
      <c r="D53" s="139">
        <v>56.0</v>
      </c>
    </row>
    <row r="54" ht="12.75" customHeight="1">
      <c r="A54" s="137">
        <v>28.0</v>
      </c>
      <c r="B54" s="138" t="s">
        <v>124</v>
      </c>
      <c r="C54" s="137" t="s">
        <v>264</v>
      </c>
      <c r="D54" s="139">
        <v>63.0</v>
      </c>
    </row>
    <row r="55" ht="12.75" customHeight="1">
      <c r="A55" s="137">
        <v>29.0</v>
      </c>
      <c r="B55" s="144" t="s">
        <v>120</v>
      </c>
      <c r="C55" s="145" t="s">
        <v>263</v>
      </c>
      <c r="D55" s="146">
        <v>72.0</v>
      </c>
      <c r="E55" s="142"/>
    </row>
    <row r="56" ht="12.75" customHeight="1">
      <c r="A56" s="137">
        <v>30.0</v>
      </c>
      <c r="B56" s="138" t="s">
        <v>111</v>
      </c>
      <c r="C56" s="137" t="s">
        <v>263</v>
      </c>
      <c r="D56" s="139">
        <v>77.0</v>
      </c>
    </row>
    <row r="57" ht="12.75" customHeight="1">
      <c r="A57" s="137">
        <v>31.0</v>
      </c>
      <c r="B57" s="138" t="s">
        <v>291</v>
      </c>
      <c r="C57" s="137" t="s">
        <v>263</v>
      </c>
      <c r="D57" s="139">
        <v>94.0</v>
      </c>
    </row>
    <row r="58" ht="12.75" customHeight="1">
      <c r="A58" s="137">
        <v>32.0</v>
      </c>
      <c r="B58" s="138" t="s">
        <v>248</v>
      </c>
      <c r="C58" s="137" t="s">
        <v>264</v>
      </c>
      <c r="D58" s="143">
        <v>95.0</v>
      </c>
    </row>
    <row r="59" ht="12.75" customHeight="1">
      <c r="A59" s="145">
        <v>33.0</v>
      </c>
      <c r="B59" s="138" t="s">
        <v>292</v>
      </c>
      <c r="C59" s="137" t="s">
        <v>264</v>
      </c>
      <c r="D59" s="139" t="s">
        <v>293</v>
      </c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26:$D$26"/>
  <mergeCells count="4">
    <mergeCell ref="A1:B1"/>
    <mergeCell ref="C1:E1"/>
    <mergeCell ref="A2:E2"/>
    <mergeCell ref="A25:D2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1.63"/>
    <col customWidth="1" min="4" max="4" width="13.13"/>
    <col customWidth="1" min="5" max="5" width="15.75"/>
    <col customWidth="1" min="6" max="7" width="15.13"/>
    <col customWidth="1" min="8" max="8" width="17.75"/>
    <col customWidth="1" min="9" max="11" width="8.63"/>
    <col customWidth="1" min="12" max="12" width="8.0"/>
    <col customWidth="1" min="13" max="13" width="42.63"/>
    <col customWidth="1" min="14" max="14" width="8.63"/>
    <col customWidth="1" min="15" max="15" width="41.38"/>
    <col customWidth="1" min="16" max="27" width="8.63"/>
  </cols>
  <sheetData>
    <row r="1">
      <c r="C1" s="147" t="s">
        <v>2</v>
      </c>
      <c r="D1" s="148" t="s">
        <v>294</v>
      </c>
      <c r="E1" s="148" t="s">
        <v>295</v>
      </c>
      <c r="F1" s="149" t="s">
        <v>296</v>
      </c>
      <c r="G1" s="149" t="s">
        <v>297</v>
      </c>
      <c r="H1" s="149" t="s">
        <v>298</v>
      </c>
      <c r="L1" s="150" t="s">
        <v>299</v>
      </c>
      <c r="M1" s="18"/>
      <c r="N1" s="151" t="s">
        <v>300</v>
      </c>
      <c r="O1" s="18"/>
    </row>
    <row r="2" ht="15.0" customHeight="1">
      <c r="C2" s="152" t="s">
        <v>58</v>
      </c>
      <c r="D2" s="153" t="s">
        <v>301</v>
      </c>
      <c r="E2" s="154">
        <v>3750.0</v>
      </c>
      <c r="F2" s="154">
        <v>750.0</v>
      </c>
      <c r="G2" s="154">
        <v>500.0</v>
      </c>
      <c r="H2" s="155">
        <f t="shared" ref="H2:H14" si="1">SUM(E2:G2)</f>
        <v>5000</v>
      </c>
      <c r="L2" s="156" t="s">
        <v>302</v>
      </c>
      <c r="M2" s="18"/>
      <c r="N2" s="157" t="s">
        <v>303</v>
      </c>
      <c r="O2" s="18"/>
    </row>
    <row r="3" ht="15.0" customHeight="1">
      <c r="C3" s="158" t="s">
        <v>66</v>
      </c>
      <c r="D3" s="153" t="s">
        <v>93</v>
      </c>
      <c r="E3" s="154">
        <v>750.0</v>
      </c>
      <c r="F3" s="154">
        <v>0.0</v>
      </c>
      <c r="G3" s="154">
        <v>0.0</v>
      </c>
      <c r="H3" s="155">
        <f t="shared" si="1"/>
        <v>750</v>
      </c>
      <c r="L3" s="159" t="s">
        <v>304</v>
      </c>
      <c r="M3" s="18"/>
      <c r="N3" s="160" t="s">
        <v>305</v>
      </c>
      <c r="O3" s="18"/>
    </row>
    <row r="4" ht="15.0" customHeight="1">
      <c r="C4" s="158" t="s">
        <v>117</v>
      </c>
      <c r="D4" s="153" t="s">
        <v>102</v>
      </c>
      <c r="E4" s="154">
        <v>750.0</v>
      </c>
      <c r="F4" s="161">
        <v>0.0</v>
      </c>
      <c r="G4" s="161">
        <v>0.0</v>
      </c>
      <c r="H4" s="155">
        <f t="shared" si="1"/>
        <v>750</v>
      </c>
      <c r="L4" s="162" t="s">
        <v>31</v>
      </c>
      <c r="M4" s="162" t="s">
        <v>306</v>
      </c>
      <c r="N4" s="163" t="s">
        <v>31</v>
      </c>
      <c r="O4" s="163" t="s">
        <v>306</v>
      </c>
    </row>
    <row r="5" ht="15.0" customHeight="1">
      <c r="C5" s="152" t="s">
        <v>14</v>
      </c>
      <c r="D5" s="153" t="s">
        <v>307</v>
      </c>
      <c r="E5" s="154">
        <v>2250.0</v>
      </c>
      <c r="F5" s="161">
        <v>0.0</v>
      </c>
      <c r="G5" s="161">
        <v>0.0</v>
      </c>
      <c r="H5" s="155">
        <f t="shared" si="1"/>
        <v>2250</v>
      </c>
      <c r="L5" s="164">
        <v>1.0</v>
      </c>
      <c r="M5" s="162" t="s">
        <v>308</v>
      </c>
      <c r="N5" s="165">
        <v>1.0</v>
      </c>
      <c r="O5" s="163" t="s">
        <v>25</v>
      </c>
    </row>
    <row r="6" ht="15.0" customHeight="1">
      <c r="C6" s="152" t="s">
        <v>115</v>
      </c>
      <c r="D6" s="153" t="s">
        <v>309</v>
      </c>
      <c r="E6" s="166">
        <v>1500.0</v>
      </c>
      <c r="F6" s="166">
        <v>0.0</v>
      </c>
      <c r="G6" s="166">
        <v>500.0</v>
      </c>
      <c r="H6" s="155">
        <f t="shared" si="1"/>
        <v>2000</v>
      </c>
      <c r="L6" s="164">
        <v>2.0</v>
      </c>
      <c r="M6" s="162" t="s">
        <v>112</v>
      </c>
      <c r="N6" s="165">
        <v>2.0</v>
      </c>
      <c r="O6" s="163" t="s">
        <v>310</v>
      </c>
    </row>
    <row r="7" ht="15.0" customHeight="1">
      <c r="C7" s="158" t="s">
        <v>116</v>
      </c>
      <c r="D7" s="153" t="s">
        <v>307</v>
      </c>
      <c r="E7" s="154">
        <v>2000.0</v>
      </c>
      <c r="F7" s="161">
        <v>0.0</v>
      </c>
      <c r="G7" s="161">
        <v>0.0</v>
      </c>
      <c r="H7" s="155">
        <f t="shared" si="1"/>
        <v>2000</v>
      </c>
      <c r="L7" s="164">
        <v>11.0</v>
      </c>
      <c r="M7" s="162" t="s">
        <v>311</v>
      </c>
      <c r="N7" s="165">
        <v>11.0</v>
      </c>
      <c r="O7" s="163" t="s">
        <v>24</v>
      </c>
    </row>
    <row r="8" ht="15.0" customHeight="1">
      <c r="C8" s="152" t="s">
        <v>59</v>
      </c>
      <c r="D8" s="153" t="s">
        <v>93</v>
      </c>
      <c r="E8" s="154">
        <v>750.0</v>
      </c>
      <c r="F8" s="161">
        <v>500.0</v>
      </c>
      <c r="G8" s="161">
        <v>0.0</v>
      </c>
      <c r="H8" s="155">
        <f t="shared" si="1"/>
        <v>1250</v>
      </c>
      <c r="L8" s="164">
        <v>12.0</v>
      </c>
      <c r="M8" s="162" t="s">
        <v>243</v>
      </c>
      <c r="N8" s="165">
        <v>12.0</v>
      </c>
      <c r="O8" s="163" t="s">
        <v>228</v>
      </c>
    </row>
    <row r="9" ht="15.0" customHeight="1">
      <c r="C9" s="158" t="s">
        <v>239</v>
      </c>
      <c r="D9" s="153" t="s">
        <v>93</v>
      </c>
      <c r="E9" s="154">
        <v>750.0</v>
      </c>
      <c r="F9" s="154">
        <v>0.0</v>
      </c>
      <c r="G9" s="154">
        <v>0.0</v>
      </c>
      <c r="H9" s="155">
        <f t="shared" si="1"/>
        <v>750</v>
      </c>
      <c r="L9" s="164"/>
      <c r="M9" s="162"/>
      <c r="N9" s="165"/>
      <c r="O9" s="163"/>
    </row>
    <row r="10" ht="15.0" customHeight="1">
      <c r="C10" s="158" t="s">
        <v>16</v>
      </c>
      <c r="D10" s="153" t="s">
        <v>312</v>
      </c>
      <c r="E10" s="154">
        <v>0.0</v>
      </c>
      <c r="F10" s="154">
        <v>1000.0</v>
      </c>
      <c r="G10" s="154">
        <v>0.0</v>
      </c>
      <c r="H10" s="155">
        <f t="shared" si="1"/>
        <v>1000</v>
      </c>
      <c r="L10" s="164"/>
      <c r="M10" s="162"/>
      <c r="N10" s="165"/>
      <c r="O10" s="163"/>
    </row>
    <row r="11" ht="15.0" customHeight="1">
      <c r="C11" s="158" t="s">
        <v>248</v>
      </c>
      <c r="D11" s="153" t="s">
        <v>312</v>
      </c>
      <c r="E11" s="154">
        <v>0.0</v>
      </c>
      <c r="F11" s="154">
        <v>0.0</v>
      </c>
      <c r="G11" s="154">
        <v>500.0</v>
      </c>
      <c r="H11" s="155">
        <f t="shared" si="1"/>
        <v>500</v>
      </c>
      <c r="L11" s="164"/>
      <c r="M11" s="162"/>
      <c r="N11" s="165"/>
      <c r="O11" s="163"/>
    </row>
    <row r="12" ht="15.0" customHeight="1">
      <c r="C12" s="158" t="s">
        <v>246</v>
      </c>
      <c r="D12" s="153" t="s">
        <v>312</v>
      </c>
      <c r="E12" s="154">
        <v>0.0</v>
      </c>
      <c r="F12" s="154">
        <v>250.0</v>
      </c>
      <c r="G12" s="154">
        <v>0.0</v>
      </c>
      <c r="H12" s="155">
        <f t="shared" si="1"/>
        <v>250</v>
      </c>
      <c r="L12" s="164"/>
      <c r="M12" s="162"/>
      <c r="N12" s="165"/>
      <c r="O12" s="163"/>
    </row>
    <row r="13" ht="15.0" customHeight="1">
      <c r="C13" s="158" t="s">
        <v>121</v>
      </c>
      <c r="D13" s="153" t="s">
        <v>312</v>
      </c>
      <c r="E13" s="154">
        <v>0.0</v>
      </c>
      <c r="F13" s="154">
        <v>250.0</v>
      </c>
      <c r="G13" s="154">
        <v>0.0</v>
      </c>
      <c r="H13" s="155">
        <f t="shared" si="1"/>
        <v>250</v>
      </c>
      <c r="L13" s="164"/>
      <c r="M13" s="162"/>
      <c r="N13" s="165"/>
      <c r="O13" s="163"/>
    </row>
    <row r="14" ht="15.0" customHeight="1">
      <c r="C14" s="13" t="s">
        <v>23</v>
      </c>
      <c r="D14" s="153" t="s">
        <v>93</v>
      </c>
      <c r="E14" s="154">
        <v>600.0</v>
      </c>
      <c r="F14" s="154">
        <v>0.0</v>
      </c>
      <c r="G14" s="154">
        <v>0.0</v>
      </c>
      <c r="H14" s="155">
        <f t="shared" si="1"/>
        <v>600</v>
      </c>
      <c r="L14" s="164"/>
      <c r="M14" s="162"/>
      <c r="N14" s="165"/>
      <c r="O14" s="163"/>
    </row>
    <row r="15" ht="15.0" customHeight="1">
      <c r="C15" s="158"/>
      <c r="D15" s="153"/>
      <c r="E15" s="154"/>
      <c r="F15" s="154"/>
      <c r="G15" s="154"/>
      <c r="H15" s="155"/>
      <c r="L15" s="164"/>
      <c r="M15" s="162"/>
      <c r="N15" s="165"/>
      <c r="O15" s="163"/>
    </row>
    <row r="16" ht="15.0" customHeight="1">
      <c r="C16" s="158"/>
      <c r="D16" s="153"/>
      <c r="E16" s="154"/>
      <c r="F16" s="154"/>
      <c r="G16" s="154"/>
      <c r="H16" s="155"/>
      <c r="L16" s="164"/>
      <c r="M16" s="162"/>
      <c r="N16" s="165"/>
      <c r="O16" s="163"/>
    </row>
    <row r="17" ht="15.0" customHeight="1">
      <c r="C17" s="158"/>
      <c r="D17" s="153"/>
      <c r="E17" s="154"/>
      <c r="F17" s="154"/>
      <c r="G17" s="154"/>
      <c r="H17" s="155"/>
      <c r="L17" s="164"/>
      <c r="M17" s="162"/>
      <c r="N17" s="165"/>
      <c r="O17" s="163"/>
    </row>
    <row r="18" ht="15.0" customHeight="1">
      <c r="C18" s="158"/>
      <c r="D18" s="153"/>
      <c r="E18" s="154"/>
      <c r="F18" s="154"/>
      <c r="G18" s="154"/>
      <c r="H18" s="155"/>
      <c r="L18" s="164"/>
      <c r="M18" s="162"/>
      <c r="N18" s="165"/>
      <c r="O18" s="163"/>
    </row>
    <row r="19" ht="15.0" customHeight="1">
      <c r="C19" s="158"/>
      <c r="D19" s="153"/>
      <c r="E19" s="154"/>
      <c r="F19" s="154"/>
      <c r="G19" s="154"/>
      <c r="H19" s="155"/>
      <c r="L19" s="164"/>
      <c r="M19" s="162"/>
      <c r="N19" s="165"/>
      <c r="O19" s="163"/>
    </row>
    <row r="20" ht="15.0" customHeight="1">
      <c r="C20" s="158"/>
      <c r="D20" s="153"/>
      <c r="E20" s="154"/>
      <c r="F20" s="154"/>
      <c r="G20" s="154"/>
      <c r="H20" s="155"/>
      <c r="L20" s="164"/>
      <c r="M20" s="162"/>
      <c r="N20" s="165"/>
      <c r="O20" s="163"/>
    </row>
    <row r="21" ht="15.0" customHeight="1">
      <c r="C21" s="158"/>
      <c r="D21" s="153"/>
      <c r="E21" s="154"/>
      <c r="F21" s="154"/>
      <c r="G21" s="154"/>
      <c r="H21" s="155"/>
      <c r="L21" s="164"/>
      <c r="M21" s="162"/>
      <c r="N21" s="165"/>
      <c r="O21" s="163"/>
    </row>
    <row r="22" ht="15.0" customHeight="1">
      <c r="C22" s="167"/>
      <c r="D22" s="167"/>
      <c r="E22" s="168"/>
      <c r="F22" s="168"/>
      <c r="G22" s="168"/>
      <c r="H22" s="168"/>
      <c r="L22" s="164"/>
      <c r="M22" s="162"/>
      <c r="N22" s="165"/>
      <c r="O22" s="163"/>
    </row>
    <row r="23" ht="15.0" customHeight="1">
      <c r="A23" s="169"/>
      <c r="B23" s="169"/>
      <c r="C23" s="170" t="s">
        <v>73</v>
      </c>
      <c r="D23" s="18"/>
      <c r="E23" s="168">
        <f t="shared" ref="E23:H23" si="2">SUM(E2:E14)</f>
        <v>13100</v>
      </c>
      <c r="F23" s="168">
        <f t="shared" si="2"/>
        <v>2750</v>
      </c>
      <c r="G23" s="168">
        <f t="shared" si="2"/>
        <v>1500</v>
      </c>
      <c r="H23" s="168">
        <f t="shared" si="2"/>
        <v>17350</v>
      </c>
      <c r="I23" s="169"/>
      <c r="J23" s="169"/>
      <c r="K23" s="169"/>
      <c r="L23" s="171"/>
      <c r="M23" s="172"/>
      <c r="N23" s="173"/>
      <c r="O23" s="174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</row>
    <row r="24" ht="15.0" customHeight="1">
      <c r="A24" s="169"/>
      <c r="B24" s="169"/>
      <c r="I24" s="169"/>
      <c r="J24" s="169"/>
      <c r="K24" s="169"/>
      <c r="L24" s="171">
        <v>13.0</v>
      </c>
      <c r="M24" s="172" t="s">
        <v>60</v>
      </c>
      <c r="N24" s="173">
        <v>13.0</v>
      </c>
      <c r="O24" s="174" t="s">
        <v>313</v>
      </c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</row>
    <row r="25" ht="12.75" customHeight="1"/>
    <row r="26" ht="12.75" customHeight="1"/>
    <row r="27" ht="12.75" customHeight="1">
      <c r="C27" s="13" t="s">
        <v>107</v>
      </c>
      <c r="D27" s="28"/>
    </row>
    <row r="28" ht="12.75" customHeight="1">
      <c r="C28" s="13" t="s">
        <v>69</v>
      </c>
      <c r="D28" s="28"/>
    </row>
    <row r="29" ht="12.75" hidden="1" customHeight="1">
      <c r="C29" s="13" t="s">
        <v>54</v>
      </c>
      <c r="D29" s="28">
        <v>750.0</v>
      </c>
    </row>
    <row r="30" ht="12.75" hidden="1" customHeight="1">
      <c r="C30" s="13" t="s">
        <v>112</v>
      </c>
      <c r="D30" s="28">
        <v>750.0</v>
      </c>
    </row>
    <row r="31" ht="12.75" customHeight="1">
      <c r="C31" s="10" t="s">
        <v>58</v>
      </c>
      <c r="D31" s="28"/>
    </row>
    <row r="32" ht="12.75" hidden="1" customHeight="1">
      <c r="C32" s="13" t="s">
        <v>113</v>
      </c>
      <c r="D32" s="28">
        <v>750.0</v>
      </c>
    </row>
    <row r="33" ht="12.75" customHeight="1">
      <c r="C33" s="13" t="s">
        <v>11</v>
      </c>
      <c r="D33" s="28">
        <v>500.0</v>
      </c>
    </row>
    <row r="34" ht="12.75" customHeight="1">
      <c r="C34" s="13" t="s">
        <v>14</v>
      </c>
      <c r="D34" s="28"/>
    </row>
    <row r="35" ht="12.75" hidden="1" customHeight="1">
      <c r="C35" s="13" t="s">
        <v>114</v>
      </c>
      <c r="D35" s="28">
        <v>750.0</v>
      </c>
    </row>
    <row r="36" ht="12.75" customHeight="1">
      <c r="C36" s="13" t="s">
        <v>115</v>
      </c>
      <c r="D36" s="28"/>
    </row>
    <row r="37" ht="12.75" customHeight="1">
      <c r="C37" s="13" t="s">
        <v>116</v>
      </c>
      <c r="D37" s="28"/>
    </row>
    <row r="38" ht="12.75" customHeight="1">
      <c r="C38" s="13" t="s">
        <v>117</v>
      </c>
      <c r="D38" s="28"/>
    </row>
    <row r="39" ht="12.75" customHeight="1">
      <c r="C39" s="13" t="s">
        <v>118</v>
      </c>
      <c r="D39" s="28"/>
    </row>
    <row r="40" ht="12.75" hidden="1" customHeight="1">
      <c r="C40" s="13" t="s">
        <v>63</v>
      </c>
      <c r="D40" s="28">
        <v>750.0</v>
      </c>
    </row>
    <row r="41" ht="12.75" customHeight="1">
      <c r="C41" s="4" t="s">
        <v>56</v>
      </c>
      <c r="D41" s="28"/>
    </row>
    <row r="42" ht="12.75" hidden="1" customHeight="1">
      <c r="C42" s="13" t="s">
        <v>314</v>
      </c>
      <c r="D42" s="28">
        <v>750.0</v>
      </c>
    </row>
    <row r="43" ht="12.75" hidden="1" customHeight="1">
      <c r="C43" s="13" t="s">
        <v>21</v>
      </c>
      <c r="D43" s="28">
        <v>750.0</v>
      </c>
    </row>
    <row r="44" ht="12.75" customHeight="1">
      <c r="C44" s="13" t="s">
        <v>120</v>
      </c>
      <c r="D44" s="28"/>
    </row>
    <row r="45" ht="12.75" hidden="1" customHeight="1">
      <c r="C45" s="13" t="s">
        <v>39</v>
      </c>
      <c r="D45" s="28">
        <v>750.0</v>
      </c>
    </row>
    <row r="46" ht="12.75" hidden="1" customHeight="1">
      <c r="C46" s="13" t="s">
        <v>121</v>
      </c>
      <c r="D46" s="28">
        <v>750.0</v>
      </c>
    </row>
    <row r="47" ht="12.75" hidden="1" customHeight="1">
      <c r="C47" s="13" t="s">
        <v>122</v>
      </c>
      <c r="D47" s="28">
        <v>750.0</v>
      </c>
    </row>
    <row r="48" ht="12.75" customHeight="1">
      <c r="C48" s="13" t="s">
        <v>124</v>
      </c>
      <c r="D48" s="28"/>
    </row>
    <row r="49" ht="12.75" hidden="1" customHeight="1">
      <c r="C49" s="13" t="s">
        <v>44</v>
      </c>
      <c r="D49" s="28">
        <v>750.0</v>
      </c>
    </row>
    <row r="50" ht="12.75" customHeight="1">
      <c r="C50" s="4" t="s">
        <v>67</v>
      </c>
      <c r="D50" s="28"/>
    </row>
    <row r="51" ht="12.75" customHeight="1">
      <c r="D51" s="40"/>
    </row>
    <row r="52" ht="12.75" customHeight="1">
      <c r="C52" s="13" t="s">
        <v>60</v>
      </c>
      <c r="D52" s="28"/>
    </row>
    <row r="53" ht="12.75" hidden="1" customHeight="1">
      <c r="C53" s="13" t="s">
        <v>127</v>
      </c>
      <c r="D53" s="40">
        <v>750.0</v>
      </c>
    </row>
    <row r="54" ht="12.75" hidden="1" customHeight="1">
      <c r="C54" s="13" t="s">
        <v>70</v>
      </c>
      <c r="D54" s="28">
        <v>750.0</v>
      </c>
    </row>
    <row r="55" ht="12.75" hidden="1" customHeight="1">
      <c r="C55" s="13" t="s">
        <v>128</v>
      </c>
      <c r="D55" s="28">
        <v>750.0</v>
      </c>
    </row>
    <row r="56" ht="12.75" customHeight="1">
      <c r="C56" s="13" t="s">
        <v>68</v>
      </c>
      <c r="D56" s="28"/>
    </row>
    <row r="57" ht="12.75" hidden="1" customHeight="1">
      <c r="C57" s="13" t="s">
        <v>25</v>
      </c>
      <c r="D57" s="28">
        <v>750.0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autoFilter ref="$C$26:$D$57">
    <filterColumn colId="1">
      <filters blank="1">
        <filter val="₹500"/>
      </filters>
    </filterColumn>
  </autoFilter>
  <mergeCells count="7">
    <mergeCell ref="L1:M1"/>
    <mergeCell ref="N1:O1"/>
    <mergeCell ref="L2:M2"/>
    <mergeCell ref="N2:O2"/>
    <mergeCell ref="L3:M3"/>
    <mergeCell ref="N3:O3"/>
    <mergeCell ref="C23:D23"/>
  </mergeCells>
  <conditionalFormatting sqref="D27:D57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25"/>
    <col customWidth="1" min="3" max="6" width="9.38"/>
    <col customWidth="1" min="7" max="7" width="15.63"/>
    <col customWidth="1" min="8" max="8" width="9.38"/>
    <col customWidth="1" min="9" max="9" width="8.63"/>
    <col customWidth="1" min="10" max="10" width="22.38"/>
    <col customWidth="1" min="11" max="11" width="11.13"/>
    <col customWidth="1" min="12" max="12" width="8.63"/>
    <col customWidth="1" min="13" max="13" width="19.13"/>
    <col customWidth="1" min="14" max="17" width="9.75"/>
    <col customWidth="1" min="18" max="18" width="11.38"/>
    <col customWidth="1" min="19" max="19" width="9.75"/>
    <col customWidth="1" min="20" max="20" width="9.13"/>
    <col customWidth="1" min="21" max="21" width="8.63"/>
    <col customWidth="1" min="22" max="22" width="19.13"/>
    <col customWidth="1" min="23" max="26" width="8.63"/>
  </cols>
  <sheetData>
    <row r="1" ht="12.75" customHeight="1">
      <c r="A1" s="175" t="s">
        <v>315</v>
      </c>
      <c r="B1" s="126"/>
      <c r="C1" s="126"/>
      <c r="D1" s="126"/>
      <c r="E1" s="126"/>
      <c r="F1" s="126"/>
      <c r="G1" s="18"/>
      <c r="H1" s="16"/>
    </row>
    <row r="2" ht="15.0" customHeight="1">
      <c r="A2" s="17" t="s">
        <v>316</v>
      </c>
      <c r="B2" s="126"/>
      <c r="C2" s="126"/>
      <c r="D2" s="126"/>
      <c r="E2" s="126"/>
      <c r="F2" s="126"/>
      <c r="G2" s="18"/>
      <c r="L2" s="176" t="s">
        <v>317</v>
      </c>
      <c r="M2" s="126"/>
      <c r="N2" s="126"/>
      <c r="O2" s="126"/>
      <c r="P2" s="126"/>
      <c r="Q2" s="126"/>
      <c r="R2" s="126"/>
      <c r="S2" s="18"/>
      <c r="T2" s="177"/>
    </row>
    <row r="3" ht="12.75" customHeight="1">
      <c r="A3" s="10" t="s">
        <v>31</v>
      </c>
      <c r="B3" s="10" t="s">
        <v>318</v>
      </c>
      <c r="C3" s="178">
        <v>45714.0</v>
      </c>
      <c r="D3" s="178">
        <v>45725.0</v>
      </c>
      <c r="E3" s="178">
        <v>45732.0</v>
      </c>
      <c r="F3" s="178">
        <v>45739.0</v>
      </c>
      <c r="G3" s="178">
        <v>45753.0</v>
      </c>
      <c r="H3" s="13" t="s">
        <v>319</v>
      </c>
      <c r="L3" s="179" t="s">
        <v>31</v>
      </c>
      <c r="M3" s="179" t="s">
        <v>318</v>
      </c>
      <c r="N3" s="180">
        <v>45921.0</v>
      </c>
      <c r="O3" s="180">
        <v>45927.0</v>
      </c>
      <c r="P3" s="180">
        <v>45977.0</v>
      </c>
      <c r="Q3" s="180">
        <v>45983.0</v>
      </c>
      <c r="R3" s="180">
        <v>45990.0</v>
      </c>
      <c r="S3" s="180">
        <v>45991.0</v>
      </c>
      <c r="T3" s="181"/>
    </row>
    <row r="4" ht="12.75" customHeight="1">
      <c r="A4" s="10">
        <v>1.0</v>
      </c>
      <c r="B4" s="182" t="s">
        <v>308</v>
      </c>
      <c r="C4" s="183">
        <v>400.0</v>
      </c>
      <c r="D4" s="184">
        <v>400.0</v>
      </c>
      <c r="E4" s="184">
        <v>400.0</v>
      </c>
      <c r="F4" s="185">
        <v>400.0</v>
      </c>
      <c r="G4" s="184">
        <v>400.0</v>
      </c>
      <c r="H4" s="186">
        <v>4400.0</v>
      </c>
      <c r="K4" s="16"/>
      <c r="L4" s="187">
        <v>1.0</v>
      </c>
      <c r="M4" s="188" t="s">
        <v>107</v>
      </c>
      <c r="N4" s="189">
        <v>250.0</v>
      </c>
      <c r="O4" s="189">
        <v>250.0</v>
      </c>
      <c r="P4" s="189" t="s">
        <v>320</v>
      </c>
      <c r="Q4" s="189" t="s">
        <v>320</v>
      </c>
      <c r="S4" s="189" t="s">
        <v>320</v>
      </c>
      <c r="T4" s="190"/>
    </row>
    <row r="5" ht="12.75" customHeight="1">
      <c r="A5" s="10">
        <v>2.0</v>
      </c>
      <c r="B5" s="182" t="s">
        <v>112</v>
      </c>
      <c r="C5" s="183">
        <v>400.0</v>
      </c>
      <c r="D5" s="191">
        <v>400.0</v>
      </c>
      <c r="E5" s="184">
        <v>400.0</v>
      </c>
      <c r="F5" s="185">
        <v>400.0</v>
      </c>
      <c r="G5" s="184">
        <v>400.0</v>
      </c>
      <c r="H5" s="186">
        <v>0.0</v>
      </c>
      <c r="J5" s="192"/>
      <c r="K5" s="16"/>
      <c r="L5" s="187">
        <v>2.0</v>
      </c>
      <c r="M5" s="130" t="s">
        <v>58</v>
      </c>
      <c r="N5" s="189" t="s">
        <v>320</v>
      </c>
      <c r="O5" s="189" t="s">
        <v>321</v>
      </c>
      <c r="P5" s="189" t="s">
        <v>321</v>
      </c>
      <c r="Q5" s="189" t="s">
        <v>321</v>
      </c>
      <c r="R5" s="189" t="s">
        <v>320</v>
      </c>
      <c r="S5" s="189" t="s">
        <v>320</v>
      </c>
      <c r="T5" s="190"/>
    </row>
    <row r="6" ht="12.75" customHeight="1">
      <c r="A6" s="10">
        <v>3.0</v>
      </c>
      <c r="B6" s="182" t="s">
        <v>113</v>
      </c>
      <c r="C6" s="183">
        <v>400.0</v>
      </c>
      <c r="D6" s="193">
        <v>400.0</v>
      </c>
      <c r="E6" s="184">
        <v>400.0</v>
      </c>
      <c r="F6" s="191">
        <v>400.0</v>
      </c>
      <c r="G6" s="184">
        <v>400.0</v>
      </c>
      <c r="H6" s="186"/>
      <c r="K6" s="16"/>
      <c r="L6" s="187">
        <v>3.0</v>
      </c>
      <c r="M6" s="188" t="s">
        <v>113</v>
      </c>
      <c r="N6" s="189">
        <v>250.0</v>
      </c>
      <c r="O6" s="189">
        <v>250.0</v>
      </c>
      <c r="P6" s="189">
        <v>250.0</v>
      </c>
      <c r="Q6" s="189" t="s">
        <v>320</v>
      </c>
      <c r="R6" s="189" t="s">
        <v>320</v>
      </c>
      <c r="S6" s="189" t="s">
        <v>320</v>
      </c>
      <c r="T6" s="190"/>
    </row>
    <row r="7" ht="12.75" customHeight="1">
      <c r="A7" s="10">
        <v>4.0</v>
      </c>
      <c r="B7" s="182" t="s">
        <v>322</v>
      </c>
      <c r="C7" s="183">
        <v>400.0</v>
      </c>
      <c r="D7" s="193">
        <v>400.0</v>
      </c>
      <c r="E7" s="184">
        <v>400.0</v>
      </c>
      <c r="F7" s="184">
        <v>400.0</v>
      </c>
      <c r="G7" s="184"/>
      <c r="H7" s="186"/>
      <c r="J7" s="10" t="s">
        <v>323</v>
      </c>
      <c r="K7" s="182" t="s">
        <v>324</v>
      </c>
      <c r="L7" s="187">
        <v>4.0</v>
      </c>
      <c r="M7" s="188" t="s">
        <v>114</v>
      </c>
      <c r="N7" s="189">
        <v>250.0</v>
      </c>
      <c r="O7" s="189">
        <v>250.0</v>
      </c>
      <c r="P7" s="189">
        <v>250.0</v>
      </c>
      <c r="Q7" s="189">
        <v>250.0</v>
      </c>
      <c r="R7" s="189">
        <v>250.0</v>
      </c>
      <c r="S7" s="189">
        <v>250.0</v>
      </c>
      <c r="T7" s="190"/>
    </row>
    <row r="8" ht="12.75" customHeight="1">
      <c r="A8" s="10">
        <v>5.0</v>
      </c>
      <c r="B8" s="182" t="s">
        <v>127</v>
      </c>
      <c r="C8" s="183">
        <v>400.0</v>
      </c>
      <c r="D8" s="194"/>
      <c r="E8" s="195"/>
      <c r="F8" s="195"/>
      <c r="G8" s="195"/>
      <c r="H8" s="196"/>
      <c r="J8" s="10" t="s">
        <v>23</v>
      </c>
      <c r="K8" s="182">
        <v>400.0</v>
      </c>
      <c r="L8" s="187">
        <v>5.0</v>
      </c>
      <c r="M8" s="188" t="s">
        <v>116</v>
      </c>
      <c r="N8" s="189">
        <v>250.0</v>
      </c>
      <c r="O8" s="189">
        <v>250.0</v>
      </c>
      <c r="P8" s="189" t="s">
        <v>320</v>
      </c>
      <c r="Q8" s="189" t="s">
        <v>320</v>
      </c>
      <c r="R8" s="189" t="s">
        <v>320</v>
      </c>
      <c r="S8" s="189" t="s">
        <v>320</v>
      </c>
      <c r="T8" s="190"/>
    </row>
    <row r="9" ht="12.75" customHeight="1">
      <c r="A9" s="10">
        <v>6.0</v>
      </c>
      <c r="B9" s="182" t="s">
        <v>124</v>
      </c>
      <c r="C9" s="183">
        <v>400.0</v>
      </c>
      <c r="D9" s="184">
        <v>400.0</v>
      </c>
      <c r="E9" s="184">
        <v>400.0</v>
      </c>
      <c r="F9" s="184">
        <v>400.0</v>
      </c>
      <c r="G9" s="184">
        <v>400.0</v>
      </c>
      <c r="H9" s="186"/>
      <c r="J9" s="10" t="s">
        <v>325</v>
      </c>
      <c r="K9" s="182">
        <v>400.0</v>
      </c>
      <c r="L9" s="187">
        <v>6.0</v>
      </c>
      <c r="M9" s="188" t="s">
        <v>63</v>
      </c>
      <c r="N9" s="189" t="s">
        <v>320</v>
      </c>
      <c r="O9" s="189" t="s">
        <v>320</v>
      </c>
      <c r="P9" s="189">
        <v>250.0</v>
      </c>
      <c r="Q9" s="189">
        <v>250.0</v>
      </c>
      <c r="R9" s="189">
        <v>250.0</v>
      </c>
      <c r="S9" s="189" t="s">
        <v>320</v>
      </c>
      <c r="T9" s="189"/>
      <c r="U9" s="197" t="s">
        <v>326</v>
      </c>
      <c r="V9" s="18"/>
    </row>
    <row r="10" ht="12.75" customHeight="1">
      <c r="A10" s="10">
        <v>7.0</v>
      </c>
      <c r="B10" s="182" t="s">
        <v>327</v>
      </c>
      <c r="C10" s="183">
        <v>400.0</v>
      </c>
      <c r="D10" s="184">
        <v>400.0</v>
      </c>
      <c r="E10" s="191"/>
      <c r="F10" s="184"/>
      <c r="G10" s="184"/>
      <c r="H10" s="186"/>
      <c r="J10" s="10" t="s">
        <v>327</v>
      </c>
      <c r="K10" s="182">
        <v>800.0</v>
      </c>
      <c r="L10" s="187">
        <v>7.0</v>
      </c>
      <c r="M10" s="188" t="s">
        <v>118</v>
      </c>
      <c r="N10" s="189" t="s">
        <v>321</v>
      </c>
      <c r="O10" s="189" t="s">
        <v>321</v>
      </c>
      <c r="P10" s="189" t="s">
        <v>321</v>
      </c>
      <c r="Q10" s="189" t="s">
        <v>321</v>
      </c>
      <c r="R10" s="189" t="s">
        <v>321</v>
      </c>
      <c r="S10" s="189" t="s">
        <v>321</v>
      </c>
      <c r="T10" s="189"/>
      <c r="U10" s="198">
        <v>1.0</v>
      </c>
      <c r="V10" s="199" t="s">
        <v>107</v>
      </c>
    </row>
    <row r="11" ht="12.75" customHeight="1">
      <c r="A11" s="10">
        <v>8.0</v>
      </c>
      <c r="B11" s="182" t="s">
        <v>325</v>
      </c>
      <c r="C11" s="183">
        <v>400.0</v>
      </c>
      <c r="D11" s="191"/>
      <c r="E11" s="184"/>
      <c r="F11" s="200"/>
      <c r="G11" s="195"/>
      <c r="H11" s="196"/>
      <c r="J11" s="10" t="s">
        <v>328</v>
      </c>
      <c r="K11" s="182">
        <v>400.0</v>
      </c>
      <c r="L11" s="187">
        <v>8.0</v>
      </c>
      <c r="M11" s="188" t="s">
        <v>39</v>
      </c>
      <c r="N11" s="189">
        <v>250.0</v>
      </c>
      <c r="O11" s="189">
        <v>250.0</v>
      </c>
      <c r="P11" s="189">
        <v>250.0</v>
      </c>
      <c r="Q11" s="189" t="s">
        <v>320</v>
      </c>
      <c r="R11" s="189">
        <v>250.0</v>
      </c>
      <c r="S11" s="189">
        <v>250.0</v>
      </c>
      <c r="T11" s="189"/>
      <c r="U11" s="198">
        <v>2.0</v>
      </c>
      <c r="V11" s="201" t="s">
        <v>58</v>
      </c>
    </row>
    <row r="12" ht="12.75" customHeight="1">
      <c r="A12" s="10">
        <v>9.0</v>
      </c>
      <c r="B12" s="182" t="s">
        <v>328</v>
      </c>
      <c r="C12" s="183">
        <v>400.0</v>
      </c>
      <c r="D12" s="184">
        <v>400.0</v>
      </c>
      <c r="E12" s="184">
        <v>400.0</v>
      </c>
      <c r="F12" s="202">
        <v>400.0</v>
      </c>
      <c r="G12" s="184"/>
      <c r="H12" s="186"/>
      <c r="K12" s="16"/>
      <c r="L12" s="187">
        <v>9.0</v>
      </c>
      <c r="M12" s="188" t="s">
        <v>121</v>
      </c>
      <c r="N12" s="189">
        <v>250.0</v>
      </c>
      <c r="O12" s="189" t="s">
        <v>320</v>
      </c>
      <c r="P12" s="189" t="s">
        <v>320</v>
      </c>
      <c r="Q12" s="189" t="s">
        <v>320</v>
      </c>
      <c r="R12" s="189">
        <v>250.0</v>
      </c>
      <c r="S12" s="189" t="s">
        <v>320</v>
      </c>
      <c r="T12" s="189"/>
      <c r="U12" s="198">
        <v>3.0</v>
      </c>
      <c r="V12" s="199" t="s">
        <v>113</v>
      </c>
    </row>
    <row r="13" ht="12.75" customHeight="1">
      <c r="A13" s="10">
        <v>10.0</v>
      </c>
      <c r="B13" s="182" t="s">
        <v>329</v>
      </c>
      <c r="C13" s="183">
        <v>400.0</v>
      </c>
      <c r="D13" s="200"/>
      <c r="E13" s="203"/>
      <c r="F13" s="204"/>
      <c r="G13" s="195"/>
      <c r="H13" s="196"/>
      <c r="K13" s="16"/>
      <c r="L13" s="187">
        <v>10.0</v>
      </c>
      <c r="M13" s="188" t="s">
        <v>122</v>
      </c>
      <c r="N13" s="189" t="s">
        <v>320</v>
      </c>
      <c r="O13" s="189" t="s">
        <v>320</v>
      </c>
      <c r="P13" s="189" t="s">
        <v>320</v>
      </c>
      <c r="Q13" s="189" t="s">
        <v>320</v>
      </c>
      <c r="R13" s="189" t="s">
        <v>320</v>
      </c>
      <c r="S13" s="189" t="s">
        <v>320</v>
      </c>
      <c r="T13" s="189"/>
      <c r="U13" s="198">
        <v>4.0</v>
      </c>
      <c r="V13" s="199" t="s">
        <v>308</v>
      </c>
    </row>
    <row r="14" ht="12.75" customHeight="1">
      <c r="A14" s="10">
        <v>11.0</v>
      </c>
      <c r="B14" s="10" t="s">
        <v>330</v>
      </c>
      <c r="C14" s="195"/>
      <c r="D14" s="196"/>
      <c r="E14" s="205" t="s">
        <v>156</v>
      </c>
      <c r="F14" s="184" t="s">
        <v>156</v>
      </c>
      <c r="G14" s="184" t="s">
        <v>156</v>
      </c>
      <c r="H14" s="186"/>
      <c r="K14" s="16"/>
      <c r="L14" s="187">
        <v>11.0</v>
      </c>
      <c r="M14" s="130" t="s">
        <v>123</v>
      </c>
      <c r="N14" s="189" t="s">
        <v>321</v>
      </c>
      <c r="O14" s="189" t="s">
        <v>321</v>
      </c>
      <c r="P14" s="189" t="s">
        <v>320</v>
      </c>
      <c r="Q14" s="189" t="s">
        <v>320</v>
      </c>
      <c r="R14" s="189" t="s">
        <v>320</v>
      </c>
      <c r="S14" s="189" t="s">
        <v>320</v>
      </c>
      <c r="T14" s="189"/>
      <c r="U14" s="198">
        <v>5.0</v>
      </c>
      <c r="V14" s="199" t="s">
        <v>116</v>
      </c>
    </row>
    <row r="15" ht="12.75" customHeight="1">
      <c r="A15" s="10">
        <v>12.0</v>
      </c>
      <c r="B15" s="182" t="s">
        <v>226</v>
      </c>
      <c r="C15" s="206"/>
      <c r="D15" s="186"/>
      <c r="E15" s="196"/>
      <c r="F15" s="203"/>
      <c r="G15" s="203"/>
      <c r="H15" s="196"/>
      <c r="K15" s="16"/>
      <c r="L15" s="187">
        <v>12.0</v>
      </c>
      <c r="M15" s="188" t="s">
        <v>124</v>
      </c>
      <c r="N15" s="189" t="s">
        <v>320</v>
      </c>
      <c r="O15" s="189">
        <v>250.0</v>
      </c>
      <c r="P15" s="189" t="s">
        <v>320</v>
      </c>
      <c r="Q15" s="189">
        <v>250.0</v>
      </c>
      <c r="R15" s="189">
        <v>250.0</v>
      </c>
      <c r="S15" s="189">
        <v>250.0</v>
      </c>
      <c r="T15" s="189"/>
      <c r="U15" s="198">
        <v>6.0</v>
      </c>
      <c r="V15" s="199" t="s">
        <v>63</v>
      </c>
    </row>
    <row r="16" ht="12.75" customHeight="1">
      <c r="A16" s="10">
        <v>13.0</v>
      </c>
      <c r="B16" s="10" t="s">
        <v>119</v>
      </c>
      <c r="C16" s="203"/>
      <c r="D16" s="196"/>
      <c r="E16" s="196"/>
      <c r="F16" s="196"/>
      <c r="G16" s="196"/>
      <c r="H16" s="196"/>
      <c r="I16" s="196"/>
      <c r="K16" s="16"/>
      <c r="L16" s="187">
        <v>13.0</v>
      </c>
      <c r="M16" s="188" t="s">
        <v>125</v>
      </c>
      <c r="N16" s="189" t="s">
        <v>320</v>
      </c>
      <c r="O16" s="189">
        <v>250.0</v>
      </c>
      <c r="P16" s="189">
        <v>250.0</v>
      </c>
      <c r="Q16" s="189" t="s">
        <v>320</v>
      </c>
      <c r="R16" s="189">
        <v>250.0</v>
      </c>
      <c r="S16" s="189">
        <v>250.0</v>
      </c>
      <c r="T16" s="189"/>
      <c r="U16" s="198">
        <v>7.0</v>
      </c>
      <c r="V16" s="199" t="s">
        <v>119</v>
      </c>
    </row>
    <row r="17" ht="12.75" customHeight="1">
      <c r="A17" s="10">
        <v>14.0</v>
      </c>
      <c r="B17" s="10" t="s">
        <v>331</v>
      </c>
      <c r="C17" s="196"/>
      <c r="D17" s="204"/>
      <c r="E17" s="196"/>
      <c r="F17" s="196"/>
      <c r="G17" s="196"/>
      <c r="H17" s="196"/>
      <c r="K17" s="16"/>
      <c r="L17" s="187">
        <v>14.0</v>
      </c>
      <c r="M17" s="188" t="s">
        <v>23</v>
      </c>
      <c r="N17" s="189">
        <v>250.0</v>
      </c>
      <c r="O17" s="189">
        <v>250.0</v>
      </c>
      <c r="P17" s="189">
        <v>250.0</v>
      </c>
      <c r="Q17" s="189">
        <v>250.0</v>
      </c>
      <c r="R17" s="189">
        <v>250.0</v>
      </c>
      <c r="S17" s="189">
        <v>250.0</v>
      </c>
      <c r="T17" s="189"/>
      <c r="U17" s="198">
        <v>8.0</v>
      </c>
      <c r="V17" s="199" t="s">
        <v>39</v>
      </c>
    </row>
    <row r="18" ht="12.75" customHeight="1">
      <c r="A18" s="10">
        <v>15.0</v>
      </c>
      <c r="B18" s="10" t="s">
        <v>332</v>
      </c>
      <c r="C18" s="207"/>
      <c r="D18" s="184">
        <v>400.0</v>
      </c>
      <c r="E18" s="186"/>
      <c r="F18" s="196"/>
      <c r="G18" s="204"/>
      <c r="H18" s="196"/>
      <c r="K18" s="16"/>
      <c r="L18" s="187">
        <v>15.0</v>
      </c>
      <c r="M18" s="188" t="s">
        <v>127</v>
      </c>
      <c r="N18" s="189">
        <v>250.0</v>
      </c>
      <c r="O18" s="189">
        <v>250.0</v>
      </c>
      <c r="P18" s="189">
        <v>240.0</v>
      </c>
      <c r="Q18" s="189">
        <v>250.0</v>
      </c>
      <c r="R18" s="189">
        <v>250.0</v>
      </c>
      <c r="S18" s="189">
        <v>250.0</v>
      </c>
      <c r="T18" s="189"/>
      <c r="U18" s="198">
        <v>9.0</v>
      </c>
      <c r="V18" s="199" t="s">
        <v>121</v>
      </c>
    </row>
    <row r="19" ht="12.75" customHeight="1">
      <c r="A19" s="10">
        <v>16.0</v>
      </c>
      <c r="B19" s="182" t="s">
        <v>125</v>
      </c>
      <c r="C19" s="205" t="s">
        <v>156</v>
      </c>
      <c r="D19" s="194"/>
      <c r="E19" s="204"/>
      <c r="F19" s="207"/>
      <c r="G19" s="184"/>
      <c r="H19" s="186"/>
      <c r="J19" s="10"/>
      <c r="K19" s="16"/>
      <c r="L19" s="187">
        <v>16.0</v>
      </c>
      <c r="M19" s="188" t="s">
        <v>333</v>
      </c>
      <c r="N19" s="189">
        <v>250.0</v>
      </c>
      <c r="O19" s="189">
        <v>250.0</v>
      </c>
      <c r="P19" s="189">
        <v>250.0</v>
      </c>
      <c r="Q19" s="189">
        <v>250.0</v>
      </c>
      <c r="R19" s="189">
        <v>250.0</v>
      </c>
      <c r="S19" s="189">
        <v>250.0</v>
      </c>
      <c r="T19" s="189"/>
      <c r="U19" s="198">
        <v>10.0</v>
      </c>
      <c r="V19" s="199" t="s">
        <v>122</v>
      </c>
    </row>
    <row r="20" ht="12.75" customHeight="1">
      <c r="A20" s="10">
        <v>17.0</v>
      </c>
      <c r="B20" s="10" t="s">
        <v>53</v>
      </c>
      <c r="C20" s="208"/>
      <c r="D20" s="205" t="s">
        <v>156</v>
      </c>
      <c r="E20" s="184"/>
      <c r="F20" s="184"/>
      <c r="G20" s="184"/>
      <c r="H20" s="186"/>
      <c r="K20" s="16"/>
      <c r="L20" s="187">
        <v>17.0</v>
      </c>
      <c r="M20" s="188" t="s">
        <v>25</v>
      </c>
      <c r="N20" s="189" t="s">
        <v>320</v>
      </c>
      <c r="O20" s="189">
        <v>250.0</v>
      </c>
      <c r="P20" s="189">
        <v>250.0</v>
      </c>
      <c r="Q20" s="189">
        <v>250.0</v>
      </c>
      <c r="R20" s="189">
        <v>250.0</v>
      </c>
      <c r="S20" s="189" t="s">
        <v>320</v>
      </c>
      <c r="T20" s="189"/>
      <c r="U20" s="198">
        <v>11.0</v>
      </c>
      <c r="V20" s="201" t="s">
        <v>123</v>
      </c>
    </row>
    <row r="21" ht="12.75" customHeight="1">
      <c r="A21" s="10">
        <v>18.0</v>
      </c>
      <c r="B21" s="10" t="s">
        <v>134</v>
      </c>
      <c r="C21" s="209"/>
      <c r="D21" s="184" t="s">
        <v>156</v>
      </c>
      <c r="E21" s="184" t="s">
        <v>156</v>
      </c>
      <c r="F21" s="184" t="s">
        <v>156</v>
      </c>
      <c r="G21" s="184" t="s">
        <v>156</v>
      </c>
      <c r="H21" s="186"/>
      <c r="K21" s="16"/>
      <c r="L21" s="187">
        <v>18.0</v>
      </c>
      <c r="M21" s="188" t="s">
        <v>112</v>
      </c>
      <c r="N21" s="189">
        <v>250.0</v>
      </c>
      <c r="O21" s="189">
        <v>250.0</v>
      </c>
      <c r="P21" s="189">
        <v>250.0</v>
      </c>
      <c r="Q21" s="189">
        <v>250.0</v>
      </c>
      <c r="R21" s="189">
        <v>250.0</v>
      </c>
      <c r="S21" s="189">
        <v>250.0</v>
      </c>
      <c r="T21" s="189"/>
      <c r="U21" s="198">
        <v>12.0</v>
      </c>
      <c r="V21" s="199" t="s">
        <v>124</v>
      </c>
    </row>
    <row r="22" ht="12.75" customHeight="1">
      <c r="A22" s="10">
        <v>19.0</v>
      </c>
      <c r="B22" s="10" t="s">
        <v>334</v>
      </c>
      <c r="C22" s="209"/>
      <c r="D22" s="184">
        <v>400.0</v>
      </c>
      <c r="E22" s="194"/>
      <c r="F22" s="203">
        <v>400.0</v>
      </c>
      <c r="G22" s="203"/>
      <c r="H22" s="196"/>
      <c r="K22" s="16"/>
      <c r="L22" s="187">
        <v>19.0</v>
      </c>
      <c r="M22" s="188" t="s">
        <v>14</v>
      </c>
      <c r="N22" s="189" t="s">
        <v>320</v>
      </c>
      <c r="O22" s="189" t="s">
        <v>320</v>
      </c>
      <c r="P22" s="189" t="s">
        <v>320</v>
      </c>
      <c r="Q22" s="189" t="s">
        <v>320</v>
      </c>
      <c r="R22" s="189" t="s">
        <v>320</v>
      </c>
      <c r="S22" s="189" t="s">
        <v>320</v>
      </c>
      <c r="T22" s="189"/>
      <c r="U22" s="198">
        <v>13.0</v>
      </c>
      <c r="V22" s="199" t="s">
        <v>125</v>
      </c>
    </row>
    <row r="23" ht="12.75" customHeight="1">
      <c r="A23" s="10">
        <v>20.0</v>
      </c>
      <c r="B23" s="10" t="s">
        <v>335</v>
      </c>
      <c r="C23" s="209"/>
      <c r="D23" s="209"/>
      <c r="E23" s="184">
        <v>400.0</v>
      </c>
      <c r="F23" s="202">
        <v>400.0</v>
      </c>
      <c r="G23" s="209"/>
      <c r="H23" s="209"/>
      <c r="K23" s="16"/>
      <c r="L23" s="210" t="s">
        <v>336</v>
      </c>
      <c r="M23" s="18"/>
      <c r="N23" s="211">
        <f t="shared" ref="N23:S23" si="1">SUM(N6:N22)</f>
        <v>2250</v>
      </c>
      <c r="O23" s="211">
        <f t="shared" si="1"/>
        <v>2750</v>
      </c>
      <c r="P23" s="211">
        <f t="shared" si="1"/>
        <v>2490</v>
      </c>
      <c r="Q23" s="211">
        <f t="shared" si="1"/>
        <v>2000</v>
      </c>
      <c r="R23" s="211">
        <f t="shared" si="1"/>
        <v>2750</v>
      </c>
      <c r="S23" s="211">
        <f t="shared" si="1"/>
        <v>2000</v>
      </c>
      <c r="T23" s="211"/>
      <c r="U23" s="198">
        <v>14.0</v>
      </c>
      <c r="V23" s="199" t="s">
        <v>23</v>
      </c>
    </row>
    <row r="24" ht="12.75" customHeight="1">
      <c r="A24" s="17" t="s">
        <v>73</v>
      </c>
      <c r="B24" s="18"/>
      <c r="C24" s="196">
        <f t="shared" ref="C24:H24" si="2">SUM(C4:C23)</f>
        <v>4000</v>
      </c>
      <c r="D24" s="196">
        <f t="shared" si="2"/>
        <v>3600</v>
      </c>
      <c r="E24" s="196">
        <f t="shared" si="2"/>
        <v>2800</v>
      </c>
      <c r="F24" s="196">
        <f t="shared" si="2"/>
        <v>3200</v>
      </c>
      <c r="G24" s="196">
        <f t="shared" si="2"/>
        <v>1600</v>
      </c>
      <c r="H24" s="196">
        <f t="shared" si="2"/>
        <v>4400</v>
      </c>
      <c r="K24" s="16"/>
      <c r="L24" s="10">
        <v>20.0</v>
      </c>
      <c r="M24" s="13" t="s">
        <v>109</v>
      </c>
      <c r="N24" s="10"/>
      <c r="O24" s="10"/>
      <c r="P24" s="10"/>
      <c r="Q24" s="10"/>
      <c r="R24" s="10"/>
      <c r="S24" s="10"/>
      <c r="T24" s="10"/>
      <c r="U24" s="198">
        <v>15.0</v>
      </c>
      <c r="V24" s="199" t="s">
        <v>127</v>
      </c>
    </row>
    <row r="25" ht="12.75" customHeight="1">
      <c r="K25" s="16"/>
      <c r="L25" s="10">
        <v>21.0</v>
      </c>
      <c r="M25" s="13" t="s">
        <v>54</v>
      </c>
      <c r="N25" s="10"/>
      <c r="O25" s="10"/>
      <c r="P25" s="10"/>
      <c r="Q25" s="10"/>
      <c r="R25" s="10"/>
      <c r="S25" s="10"/>
      <c r="T25" s="10"/>
      <c r="U25" s="198">
        <v>16.0</v>
      </c>
      <c r="V25" s="199" t="s">
        <v>128</v>
      </c>
    </row>
    <row r="26" ht="12.75" customHeight="1">
      <c r="K26" s="16"/>
      <c r="L26" s="10">
        <v>22.0</v>
      </c>
      <c r="M26" s="30" t="s">
        <v>129</v>
      </c>
      <c r="N26" s="10"/>
      <c r="O26" s="10"/>
      <c r="P26" s="10"/>
      <c r="Q26" s="10"/>
      <c r="R26" s="10"/>
      <c r="S26" s="10"/>
      <c r="T26" s="10"/>
      <c r="U26" s="198">
        <v>17.0</v>
      </c>
      <c r="V26" s="199" t="s">
        <v>25</v>
      </c>
    </row>
    <row r="27" ht="12.75" customHeight="1">
      <c r="B27" s="182" t="s">
        <v>337</v>
      </c>
      <c r="C27" s="212">
        <f>H24</f>
        <v>4400</v>
      </c>
      <c r="K27" s="16"/>
      <c r="L27" s="10">
        <v>23.0</v>
      </c>
      <c r="M27" s="13" t="s">
        <v>11</v>
      </c>
      <c r="N27" s="10"/>
      <c r="O27" s="10"/>
      <c r="P27" s="10"/>
      <c r="Q27" s="10"/>
      <c r="R27" s="10"/>
      <c r="S27" s="10"/>
      <c r="T27" s="10"/>
      <c r="U27" s="198">
        <v>18.0</v>
      </c>
      <c r="V27" s="199" t="s">
        <v>112</v>
      </c>
    </row>
    <row r="28" ht="12.75" customHeight="1">
      <c r="B28" s="182" t="s">
        <v>338</v>
      </c>
      <c r="C28" s="212">
        <f>C24+D24+E24+F24+G24</f>
        <v>15200</v>
      </c>
      <c r="K28" s="16"/>
      <c r="L28" s="10">
        <v>24.0</v>
      </c>
      <c r="M28" s="13" t="s">
        <v>115</v>
      </c>
      <c r="N28" s="10"/>
      <c r="O28" s="10"/>
      <c r="P28" s="10"/>
      <c r="Q28" s="10"/>
      <c r="R28" s="10"/>
      <c r="S28" s="10"/>
      <c r="T28" s="10"/>
      <c r="U28" s="198">
        <v>19.0</v>
      </c>
      <c r="V28" s="199" t="s">
        <v>339</v>
      </c>
    </row>
    <row r="29" ht="12.75" customHeight="1">
      <c r="B29" s="213" t="s">
        <v>340</v>
      </c>
      <c r="C29" s="214">
        <v>2800.0</v>
      </c>
      <c r="E29" s="73"/>
      <c r="G29" s="10" t="s">
        <v>341</v>
      </c>
      <c r="H29" s="72">
        <f>SUM(H31:H39)</f>
        <v>21850</v>
      </c>
      <c r="I29" s="72"/>
      <c r="K29" s="16"/>
      <c r="L29" s="10">
        <v>25.0</v>
      </c>
      <c r="M29" s="13" t="s">
        <v>117</v>
      </c>
      <c r="N29" s="10"/>
      <c r="O29" s="10"/>
      <c r="P29" s="10"/>
      <c r="Q29" s="10"/>
      <c r="R29" s="10"/>
      <c r="S29" s="10"/>
      <c r="T29" s="16"/>
    </row>
    <row r="30" ht="12.75" customHeight="1">
      <c r="B30" s="215" t="s">
        <v>28</v>
      </c>
      <c r="C30" s="216">
        <f>C28+C29</f>
        <v>18000</v>
      </c>
      <c r="F30" s="217" t="s">
        <v>342</v>
      </c>
      <c r="H30" s="72"/>
      <c r="I30" s="72"/>
      <c r="K30" s="16"/>
      <c r="L30" s="10">
        <v>26.0</v>
      </c>
      <c r="M30" s="13" t="s">
        <v>313</v>
      </c>
      <c r="N30" s="10"/>
      <c r="O30" s="10"/>
      <c r="P30" s="10"/>
      <c r="Q30" s="10"/>
      <c r="R30" s="10"/>
      <c r="S30" s="10"/>
      <c r="T30" s="16"/>
    </row>
    <row r="31" ht="12.75" customHeight="1">
      <c r="B31" s="218" t="s">
        <v>29</v>
      </c>
      <c r="C31" s="212">
        <f>H29</f>
        <v>21850</v>
      </c>
      <c r="F31" s="73">
        <v>1.0</v>
      </c>
      <c r="G31" s="73" t="s">
        <v>343</v>
      </c>
      <c r="H31" s="72">
        <v>10500.0</v>
      </c>
      <c r="I31" s="72"/>
      <c r="K31" s="16"/>
      <c r="L31" s="10">
        <v>27.0</v>
      </c>
      <c r="M31" s="4" t="s">
        <v>56</v>
      </c>
      <c r="N31" s="10"/>
      <c r="O31" s="10"/>
      <c r="P31" s="10"/>
      <c r="Q31" s="10"/>
      <c r="R31" s="10"/>
      <c r="S31" s="10"/>
      <c r="T31" s="16"/>
    </row>
    <row r="32" ht="12.75" customHeight="1">
      <c r="B32" s="215" t="s">
        <v>30</v>
      </c>
      <c r="C32" s="216">
        <f>C30-C31</f>
        <v>-3850</v>
      </c>
      <c r="F32" s="73">
        <v>2.0</v>
      </c>
      <c r="G32" s="73" t="s">
        <v>343</v>
      </c>
      <c r="H32" s="72">
        <v>10500.0</v>
      </c>
      <c r="I32" s="72"/>
      <c r="K32" s="16"/>
      <c r="L32" s="10">
        <v>28.0</v>
      </c>
      <c r="M32" s="13" t="s">
        <v>21</v>
      </c>
      <c r="N32" s="10"/>
      <c r="O32" s="10"/>
      <c r="P32" s="10"/>
      <c r="Q32" s="10"/>
      <c r="R32" s="10"/>
      <c r="S32" s="10"/>
      <c r="T32" s="16"/>
    </row>
    <row r="33" ht="12.75" customHeight="1">
      <c r="F33" s="73">
        <v>3.0</v>
      </c>
      <c r="G33" s="73" t="s">
        <v>194</v>
      </c>
      <c r="H33" s="72">
        <v>850.0</v>
      </c>
      <c r="I33" s="72"/>
      <c r="K33" s="16"/>
      <c r="L33" s="10">
        <v>29.0</v>
      </c>
      <c r="M33" s="13" t="s">
        <v>44</v>
      </c>
      <c r="N33" s="10"/>
      <c r="O33" s="10"/>
      <c r="P33" s="10"/>
      <c r="Q33" s="10"/>
      <c r="R33" s="10"/>
      <c r="S33" s="10"/>
      <c r="T33" s="16"/>
    </row>
    <row r="34" ht="12.75" customHeight="1">
      <c r="H34" s="72"/>
      <c r="I34" s="72"/>
      <c r="K34" s="16"/>
      <c r="L34" s="10">
        <v>30.0</v>
      </c>
      <c r="M34" s="13" t="s">
        <v>130</v>
      </c>
      <c r="N34" s="10"/>
      <c r="O34" s="10"/>
      <c r="P34" s="10"/>
      <c r="Q34" s="10"/>
      <c r="R34" s="10"/>
      <c r="S34" s="10"/>
      <c r="T34" s="16"/>
    </row>
    <row r="35" ht="12.75" customHeight="1">
      <c r="H35" s="72"/>
      <c r="I35" s="72"/>
      <c r="K35" s="16"/>
      <c r="L35" s="10">
        <v>31.0</v>
      </c>
      <c r="M35" s="13" t="s">
        <v>88</v>
      </c>
      <c r="N35" s="10"/>
      <c r="O35" s="10"/>
      <c r="P35" s="10"/>
      <c r="Q35" s="10"/>
      <c r="R35" s="10"/>
      <c r="S35" s="10"/>
      <c r="T35" s="16"/>
    </row>
    <row r="36" ht="12.75" customHeight="1">
      <c r="H36" s="72"/>
      <c r="I36" s="72"/>
      <c r="K36" s="16"/>
      <c r="L36" s="10">
        <v>32.0</v>
      </c>
      <c r="M36" s="13" t="s">
        <v>60</v>
      </c>
      <c r="N36" s="10"/>
      <c r="O36" s="10"/>
      <c r="P36" s="10"/>
      <c r="Q36" s="10"/>
      <c r="R36" s="10"/>
      <c r="S36" s="10"/>
      <c r="T36" s="16"/>
    </row>
    <row r="37" ht="12.75" customHeight="1">
      <c r="H37" s="72"/>
      <c r="I37" s="72"/>
      <c r="L37" s="10">
        <v>33.0</v>
      </c>
      <c r="M37" s="13" t="s">
        <v>131</v>
      </c>
      <c r="N37" s="10"/>
      <c r="O37" s="10"/>
      <c r="P37" s="10"/>
      <c r="Q37" s="10"/>
      <c r="R37" s="10"/>
      <c r="S37" s="10"/>
      <c r="T37" s="16"/>
    </row>
    <row r="38" ht="12.75" customHeight="1">
      <c r="H38" s="72"/>
      <c r="I38" s="72"/>
    </row>
    <row r="39" ht="12.75" customHeight="1">
      <c r="H39" s="72"/>
      <c r="I39" s="72"/>
    </row>
    <row r="40" ht="12.75" customHeight="1">
      <c r="H40" s="72"/>
      <c r="I40" s="72"/>
    </row>
    <row r="41" ht="12.75" customHeight="1">
      <c r="H41" s="72"/>
      <c r="I41" s="72"/>
    </row>
    <row r="42" ht="12.75" customHeight="1">
      <c r="H42" s="72"/>
      <c r="I42" s="72"/>
    </row>
    <row r="43" ht="12.75" customHeight="1">
      <c r="H43" s="72"/>
      <c r="I43" s="72"/>
    </row>
    <row r="44" ht="12.75" customHeight="1">
      <c r="H44" s="72"/>
      <c r="I44" s="72"/>
    </row>
    <row r="45" ht="12.75" customHeight="1">
      <c r="H45" s="72"/>
      <c r="I45" s="72"/>
    </row>
    <row r="46" ht="12.75" customHeight="1">
      <c r="H46" s="72"/>
      <c r="I46" s="72"/>
      <c r="K46" s="189">
        <v>240.0</v>
      </c>
    </row>
    <row r="47" ht="12.75" customHeight="1">
      <c r="H47" s="72"/>
      <c r="I47" s="72"/>
    </row>
    <row r="48" ht="12.75" customHeight="1">
      <c r="H48" s="72"/>
      <c r="I48" s="72"/>
    </row>
    <row r="49" ht="12.75" customHeight="1">
      <c r="H49" s="72"/>
      <c r="I49" s="72"/>
    </row>
    <row r="50" ht="12.75" customHeight="1">
      <c r="H50" s="72"/>
      <c r="I50" s="72"/>
    </row>
    <row r="51" ht="12.75" customHeight="1">
      <c r="H51" s="72"/>
      <c r="I51" s="72"/>
    </row>
    <row r="52" ht="12.75" customHeight="1">
      <c r="H52" s="72"/>
      <c r="I52" s="72"/>
    </row>
    <row r="53" ht="12.75" customHeight="1">
      <c r="H53" s="72"/>
      <c r="I53" s="72"/>
    </row>
    <row r="54" ht="12.75" customHeight="1">
      <c r="H54" s="72"/>
      <c r="I54" s="72"/>
    </row>
    <row r="55" ht="12.75" customHeight="1">
      <c r="H55" s="72"/>
      <c r="I55" s="72"/>
    </row>
    <row r="56" ht="12.75" customHeight="1">
      <c r="H56" s="72"/>
      <c r="I56" s="72"/>
    </row>
    <row r="57" ht="12.75" customHeight="1">
      <c r="H57" s="72"/>
      <c r="I57" s="72"/>
    </row>
    <row r="58" ht="12.75" customHeight="1">
      <c r="H58" s="72"/>
      <c r="I58" s="72"/>
    </row>
    <row r="59" ht="12.75" customHeight="1">
      <c r="H59" s="72"/>
      <c r="I59" s="72"/>
    </row>
    <row r="60" ht="12.75" customHeight="1">
      <c r="H60" s="72"/>
      <c r="I60" s="72"/>
    </row>
    <row r="61" ht="12.75" customHeight="1">
      <c r="H61" s="72"/>
      <c r="I61" s="72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1:G1"/>
    <mergeCell ref="A2:G2"/>
    <mergeCell ref="L2:S2"/>
    <mergeCell ref="U9:V9"/>
    <mergeCell ref="L23:M23"/>
    <mergeCell ref="A24:B24"/>
    <mergeCell ref="F30:G30"/>
  </mergeCells>
  <conditionalFormatting sqref="C4:H23">
    <cfRule type="cellIs" dxfId="2" priority="1" operator="equal">
      <formula>0</formula>
    </cfRule>
  </conditionalFormatting>
  <conditionalFormatting sqref="C4:H24">
    <cfRule type="containsText" dxfId="3" priority="2" operator="containsText" text="By Mgmt">
      <formula>NOT(ISERROR(SEARCH(("By Mgmt"),(C4))))</formula>
    </cfRule>
  </conditionalFormatting>
  <conditionalFormatting sqref="I16">
    <cfRule type="containsText" dxfId="3" priority="3" operator="containsText" text="By Mgmt">
      <formula>NOT(ISERROR(SEARCH(("By Mgmt"),(I16))))</formula>
    </cfRule>
  </conditionalFormatting>
  <conditionalFormatting sqref="I16">
    <cfRule type="cellIs" dxfId="2" priority="4" operator="equal">
      <formula>0</formula>
    </cfRule>
  </conditionalFormatting>
  <conditionalFormatting sqref="K46 N4:Q4 N5:T22 S4:T4">
    <cfRule type="cellIs" dxfId="4" priority="5" operator="equal">
      <formula>"No"</formula>
    </cfRule>
  </conditionalFormatting>
  <conditionalFormatting sqref="K46 N4:Q4 N5:T22 S4:T4">
    <cfRule type="cellIs" dxfId="5" priority="6" operator="equal">
      <formula>"Yes"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75"/>
    <col customWidth="1" min="3" max="3" width="10.13"/>
    <col customWidth="1" min="4" max="5" width="9.63"/>
    <col customWidth="1" min="6" max="6" width="15.63"/>
    <col customWidth="1" min="7" max="8" width="9.63"/>
    <col customWidth="1" min="9" max="26" width="8.63"/>
  </cols>
  <sheetData>
    <row r="1" ht="12.75" customHeight="1">
      <c r="A1" s="219" t="s">
        <v>344</v>
      </c>
      <c r="B1" s="220"/>
      <c r="C1" s="220"/>
      <c r="D1" s="220"/>
      <c r="E1" s="220"/>
      <c r="F1" s="220"/>
      <c r="G1" s="220"/>
      <c r="H1" s="220"/>
    </row>
    <row r="2" ht="12.75" customHeight="1">
      <c r="A2" s="3" t="s">
        <v>1</v>
      </c>
      <c r="B2" s="3" t="s">
        <v>2</v>
      </c>
      <c r="C2" s="221">
        <v>45710.0</v>
      </c>
      <c r="D2" s="222">
        <v>45718.0</v>
      </c>
      <c r="E2" s="222">
        <v>45843.0</v>
      </c>
      <c r="F2" s="222">
        <v>45845.0</v>
      </c>
      <c r="G2" s="222">
        <v>45848.0</v>
      </c>
      <c r="H2" s="22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2.75" customHeight="1">
      <c r="A3" s="3">
        <v>1.0</v>
      </c>
      <c r="B3" s="4" t="s">
        <v>113</v>
      </c>
      <c r="C3" s="28">
        <v>350.0</v>
      </c>
      <c r="D3" s="28">
        <v>300.0</v>
      </c>
      <c r="E3" s="28">
        <v>500.0</v>
      </c>
      <c r="F3" s="28">
        <v>250.0</v>
      </c>
      <c r="G3" s="28">
        <v>500.0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ht="12.75" customHeight="1">
      <c r="A4" s="3">
        <v>2.0</v>
      </c>
      <c r="B4" s="4" t="s">
        <v>25</v>
      </c>
      <c r="C4" s="28">
        <v>350.0</v>
      </c>
      <c r="D4" s="28" t="s">
        <v>345</v>
      </c>
      <c r="E4" s="28">
        <v>500.0</v>
      </c>
      <c r="F4" s="28">
        <v>250.0</v>
      </c>
      <c r="G4" s="28">
        <v>500.0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ht="12.75" customHeight="1">
      <c r="A5" s="3">
        <v>3.0</v>
      </c>
      <c r="B5" s="4" t="s">
        <v>23</v>
      </c>
      <c r="C5" s="28">
        <v>350.0</v>
      </c>
      <c r="D5" s="28">
        <v>300.0</v>
      </c>
      <c r="E5" s="28">
        <v>500.0</v>
      </c>
      <c r="F5" s="28">
        <v>250.0</v>
      </c>
      <c r="G5" s="28">
        <v>500.0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ht="12.75" customHeight="1">
      <c r="A6" s="3">
        <v>4.0</v>
      </c>
      <c r="B6" s="4" t="s">
        <v>16</v>
      </c>
      <c r="C6" s="28">
        <v>350.0</v>
      </c>
      <c r="D6" s="28">
        <v>300.0</v>
      </c>
      <c r="E6" s="28" t="s">
        <v>345</v>
      </c>
      <c r="F6" s="28" t="s">
        <v>345</v>
      </c>
      <c r="G6" s="28">
        <v>500.0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ht="12.75" customHeight="1">
      <c r="A7" s="3">
        <v>5.0</v>
      </c>
      <c r="B7" s="4" t="s">
        <v>346</v>
      </c>
      <c r="C7" s="28">
        <v>350.0</v>
      </c>
      <c r="D7" s="28">
        <v>300.0</v>
      </c>
      <c r="E7" s="28">
        <v>500.0</v>
      </c>
      <c r="F7" s="28">
        <v>250.0</v>
      </c>
      <c r="G7" s="28">
        <v>500.0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ht="12.75" customHeight="1">
      <c r="A8" s="3">
        <v>6.0</v>
      </c>
      <c r="B8" s="4" t="s">
        <v>347</v>
      </c>
      <c r="C8" s="28">
        <v>350.0</v>
      </c>
      <c r="D8" s="28">
        <v>300.0</v>
      </c>
      <c r="E8" s="28">
        <v>500.0</v>
      </c>
      <c r="F8" s="28">
        <v>250.0</v>
      </c>
      <c r="G8" s="28">
        <v>500.0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ht="12.75" customHeight="1">
      <c r="A9" s="3">
        <v>7.0</v>
      </c>
      <c r="B9" s="4" t="s">
        <v>348</v>
      </c>
      <c r="C9" s="28">
        <v>350.0</v>
      </c>
      <c r="D9" s="28">
        <v>300.0</v>
      </c>
      <c r="E9" s="28" t="s">
        <v>345</v>
      </c>
      <c r="F9" s="28">
        <v>250.0</v>
      </c>
      <c r="G9" s="28">
        <v>500.0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ht="12.75" customHeight="1">
      <c r="A10" s="3">
        <v>8.0</v>
      </c>
      <c r="B10" s="4" t="s">
        <v>239</v>
      </c>
      <c r="C10" s="28">
        <v>350.0</v>
      </c>
      <c r="D10" s="28" t="s">
        <v>345</v>
      </c>
      <c r="E10" s="28">
        <v>500.0</v>
      </c>
      <c r="F10" s="28" t="s">
        <v>345</v>
      </c>
      <c r="G10" s="28" t="s">
        <v>345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ht="12.75" customHeight="1">
      <c r="A11" s="3">
        <v>9.0</v>
      </c>
      <c r="B11" s="4" t="s">
        <v>226</v>
      </c>
      <c r="C11" s="28">
        <v>350.0</v>
      </c>
      <c r="D11" s="28">
        <v>300.0</v>
      </c>
      <c r="E11" s="28">
        <v>500.0</v>
      </c>
      <c r="F11" s="28">
        <v>250.0</v>
      </c>
      <c r="G11" s="28">
        <v>500.0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ht="12.75" customHeight="1">
      <c r="A12" s="3">
        <v>10.0</v>
      </c>
      <c r="B12" s="4" t="s">
        <v>53</v>
      </c>
      <c r="C12" s="28">
        <v>350.0</v>
      </c>
      <c r="D12" s="28" t="s">
        <v>156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ht="12.75" customHeight="1">
      <c r="A13" s="3">
        <v>11.0</v>
      </c>
      <c r="B13" s="13" t="s">
        <v>57</v>
      </c>
      <c r="C13" s="28">
        <v>350.0</v>
      </c>
      <c r="D13" s="28" t="s">
        <v>345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ht="12.75" customHeight="1">
      <c r="A14" s="3">
        <v>12.0</v>
      </c>
      <c r="B14" s="4" t="s">
        <v>349</v>
      </c>
      <c r="C14" s="28" t="s">
        <v>345</v>
      </c>
      <c r="D14" s="28" t="s">
        <v>156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ht="12.75" customHeight="1">
      <c r="A15" s="3">
        <v>13.0</v>
      </c>
      <c r="B15" s="10" t="s">
        <v>58</v>
      </c>
      <c r="C15" s="28" t="s">
        <v>345</v>
      </c>
      <c r="D15" s="28" t="s">
        <v>345</v>
      </c>
      <c r="E15" s="28">
        <v>500.0</v>
      </c>
      <c r="F15" s="28">
        <v>250.0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ht="12.75" customHeight="1">
      <c r="A16" s="3">
        <v>14.0</v>
      </c>
      <c r="B16" s="4" t="s">
        <v>350</v>
      </c>
      <c r="C16" s="28" t="s">
        <v>345</v>
      </c>
      <c r="D16" s="28" t="s">
        <v>345</v>
      </c>
      <c r="E16" s="28" t="s">
        <v>345</v>
      </c>
      <c r="F16" s="28" t="s">
        <v>345</v>
      </c>
      <c r="G16" s="28" t="s">
        <v>345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ht="12.75" customHeight="1">
      <c r="A17" s="3">
        <v>15.0</v>
      </c>
      <c r="B17" s="13" t="s">
        <v>107</v>
      </c>
      <c r="C17" s="28" t="s">
        <v>345</v>
      </c>
      <c r="D17" s="28" t="s">
        <v>345</v>
      </c>
      <c r="E17" s="28" t="s">
        <v>345</v>
      </c>
      <c r="F17" s="28" t="s">
        <v>345</v>
      </c>
      <c r="G17" s="28" t="s">
        <v>345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ht="12.75" customHeight="1">
      <c r="A18" s="3">
        <v>16.0</v>
      </c>
      <c r="B18" s="4" t="s">
        <v>244</v>
      </c>
      <c r="C18" s="28">
        <v>350.0</v>
      </c>
      <c r="D18" s="28" t="s">
        <v>345</v>
      </c>
      <c r="E18" s="28" t="s">
        <v>345</v>
      </c>
      <c r="F18" s="28" t="s">
        <v>345</v>
      </c>
      <c r="G18" s="28" t="s">
        <v>345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ht="12.75" customHeight="1">
      <c r="A19" s="3">
        <v>17.0</v>
      </c>
      <c r="B19" s="4" t="s">
        <v>351</v>
      </c>
      <c r="C19" s="28">
        <v>350.0</v>
      </c>
      <c r="D19" s="28" t="s">
        <v>345</v>
      </c>
      <c r="E19" s="28" t="s">
        <v>345</v>
      </c>
      <c r="F19" s="28" t="s">
        <v>345</v>
      </c>
      <c r="G19" s="28" t="s">
        <v>345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ht="12.75" customHeight="1">
      <c r="A20" s="3">
        <v>18.0</v>
      </c>
      <c r="B20" s="4" t="s">
        <v>352</v>
      </c>
      <c r="C20" s="28">
        <v>350.0</v>
      </c>
      <c r="D20" s="28" t="s">
        <v>345</v>
      </c>
      <c r="E20" s="28" t="s">
        <v>345</v>
      </c>
      <c r="F20" s="28" t="s">
        <v>345</v>
      </c>
      <c r="G20" s="28" t="s">
        <v>345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12.75" customHeight="1">
      <c r="A21" s="3">
        <v>19.0</v>
      </c>
      <c r="B21" s="4" t="s">
        <v>353</v>
      </c>
      <c r="C21" s="28">
        <v>350.0</v>
      </c>
      <c r="D21" s="28" t="s">
        <v>345</v>
      </c>
      <c r="E21" s="28" t="s">
        <v>345</v>
      </c>
      <c r="F21" s="28" t="s">
        <v>345</v>
      </c>
      <c r="G21" s="28" t="s">
        <v>345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ht="12.75" customHeight="1">
      <c r="A22" s="3">
        <v>20.0</v>
      </c>
      <c r="B22" s="4" t="s">
        <v>109</v>
      </c>
      <c r="C22" s="28">
        <v>350.0</v>
      </c>
      <c r="D22" s="28" t="s">
        <v>345</v>
      </c>
      <c r="E22" s="28" t="s">
        <v>345</v>
      </c>
      <c r="F22" s="28" t="s">
        <v>345</v>
      </c>
      <c r="G22" s="28" t="s">
        <v>345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ht="12.75" customHeight="1">
      <c r="A23" s="3">
        <v>21.0</v>
      </c>
      <c r="B23" s="4" t="s">
        <v>230</v>
      </c>
      <c r="C23" s="28">
        <v>350.0</v>
      </c>
      <c r="D23" s="28" t="s">
        <v>345</v>
      </c>
      <c r="E23" s="28" t="s">
        <v>345</v>
      </c>
      <c r="F23" s="28" t="s">
        <v>345</v>
      </c>
      <c r="G23" s="28" t="s">
        <v>345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12.75" customHeight="1">
      <c r="A24" s="3">
        <v>22.0</v>
      </c>
      <c r="B24" s="4" t="s">
        <v>131</v>
      </c>
      <c r="C24" s="28">
        <v>350.0</v>
      </c>
      <c r="D24" s="28" t="s">
        <v>345</v>
      </c>
      <c r="E24" s="28" t="s">
        <v>345</v>
      </c>
      <c r="F24" s="28" t="s">
        <v>345</v>
      </c>
      <c r="G24" s="28" t="s">
        <v>345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ht="12.75" customHeight="1">
      <c r="A25" s="3">
        <v>23.0</v>
      </c>
      <c r="B25" s="4" t="s">
        <v>354</v>
      </c>
      <c r="C25" s="28">
        <v>350.0</v>
      </c>
      <c r="D25" s="28">
        <v>300.0</v>
      </c>
      <c r="E25" s="28" t="s">
        <v>345</v>
      </c>
      <c r="F25" s="28" t="s">
        <v>345</v>
      </c>
      <c r="G25" s="28" t="s">
        <v>345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ht="12.75" customHeight="1">
      <c r="A26" s="3">
        <v>24.0</v>
      </c>
      <c r="B26" s="4" t="s">
        <v>285</v>
      </c>
      <c r="C26" s="28">
        <v>350.0</v>
      </c>
      <c r="D26" s="28" t="s">
        <v>345</v>
      </c>
      <c r="E26" s="28" t="s">
        <v>345</v>
      </c>
      <c r="F26" s="28" t="s">
        <v>345</v>
      </c>
      <c r="G26" s="28" t="s">
        <v>345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2.75" customHeight="1">
      <c r="A27" s="3">
        <v>25.0</v>
      </c>
      <c r="B27" s="4" t="s">
        <v>119</v>
      </c>
      <c r="C27" s="28">
        <v>350.0</v>
      </c>
      <c r="D27" s="28">
        <v>300.0</v>
      </c>
      <c r="E27" s="28" t="s">
        <v>345</v>
      </c>
      <c r="F27" s="28" t="s">
        <v>345</v>
      </c>
      <c r="G27" s="28" t="s">
        <v>345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ht="12.75" customHeight="1">
      <c r="A28" s="3">
        <v>26.0</v>
      </c>
      <c r="B28" s="4" t="s">
        <v>355</v>
      </c>
      <c r="C28" s="28">
        <v>350.0</v>
      </c>
      <c r="D28" s="28" t="s">
        <v>345</v>
      </c>
      <c r="E28" s="28" t="s">
        <v>345</v>
      </c>
      <c r="F28" s="28" t="s">
        <v>345</v>
      </c>
      <c r="G28" s="28" t="s">
        <v>345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ht="12.75" customHeight="1">
      <c r="A29" s="3">
        <v>27.0</v>
      </c>
      <c r="B29" s="4" t="s">
        <v>109</v>
      </c>
      <c r="C29" s="28">
        <v>350.0</v>
      </c>
      <c r="D29" s="28" t="s">
        <v>345</v>
      </c>
      <c r="E29" s="28" t="s">
        <v>345</v>
      </c>
      <c r="F29" s="28" t="s">
        <v>345</v>
      </c>
      <c r="G29" s="28" t="s">
        <v>345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12.75" customHeight="1">
      <c r="A30" s="3">
        <v>28.0</v>
      </c>
      <c r="B30" s="4" t="s">
        <v>356</v>
      </c>
      <c r="C30" s="28">
        <v>350.0</v>
      </c>
      <c r="D30" s="28" t="s">
        <v>345</v>
      </c>
      <c r="E30" s="28" t="s">
        <v>345</v>
      </c>
      <c r="F30" s="28" t="s">
        <v>345</v>
      </c>
      <c r="G30" s="28" t="s">
        <v>345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 ht="12.75" customHeight="1">
      <c r="A31" s="3"/>
      <c r="B31" s="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ht="12.75" customHeight="1">
      <c r="A32" s="3"/>
      <c r="B32" s="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12.75" customHeight="1">
      <c r="A33" s="3"/>
      <c r="B33" s="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ht="12.75" customHeight="1">
      <c r="A34" s="3"/>
      <c r="B34" s="4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 ht="12.75" customHeight="1">
      <c r="A35" s="3"/>
      <c r="B35" s="4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 ht="12.75" customHeight="1">
      <c r="A36" s="90"/>
      <c r="B36" s="84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 ht="12.75" customHeight="1">
      <c r="A37" s="175" t="s">
        <v>73</v>
      </c>
      <c r="B37" s="18"/>
      <c r="C37" s="223">
        <f t="shared" ref="C37:W37" si="1">SUM(C3:C36)</f>
        <v>8400</v>
      </c>
      <c r="D37" s="223">
        <f t="shared" si="1"/>
        <v>2700</v>
      </c>
      <c r="E37" s="223">
        <f t="shared" si="1"/>
        <v>4000</v>
      </c>
      <c r="F37" s="223">
        <f t="shared" si="1"/>
        <v>2000</v>
      </c>
      <c r="G37" s="223">
        <f t="shared" si="1"/>
        <v>4000</v>
      </c>
      <c r="H37" s="224">
        <f t="shared" si="1"/>
        <v>0</v>
      </c>
      <c r="I37" s="224">
        <f t="shared" si="1"/>
        <v>0</v>
      </c>
      <c r="J37" s="224">
        <f t="shared" si="1"/>
        <v>0</v>
      </c>
      <c r="K37" s="224">
        <f t="shared" si="1"/>
        <v>0</v>
      </c>
      <c r="L37" s="224">
        <f t="shared" si="1"/>
        <v>0</v>
      </c>
      <c r="M37" s="224">
        <f t="shared" si="1"/>
        <v>0</v>
      </c>
      <c r="N37" s="224">
        <f t="shared" si="1"/>
        <v>0</v>
      </c>
      <c r="O37" s="224">
        <f t="shared" si="1"/>
        <v>0</v>
      </c>
      <c r="P37" s="224">
        <f t="shared" si="1"/>
        <v>0</v>
      </c>
      <c r="Q37" s="224">
        <f t="shared" si="1"/>
        <v>0</v>
      </c>
      <c r="R37" s="224">
        <f t="shared" si="1"/>
        <v>0</v>
      </c>
      <c r="S37" s="224">
        <f t="shared" si="1"/>
        <v>0</v>
      </c>
      <c r="T37" s="224">
        <f t="shared" si="1"/>
        <v>0</v>
      </c>
      <c r="U37" s="224">
        <f t="shared" si="1"/>
        <v>0</v>
      </c>
      <c r="V37" s="224">
        <f t="shared" si="1"/>
        <v>0</v>
      </c>
      <c r="W37" s="224">
        <f t="shared" si="1"/>
        <v>0</v>
      </c>
    </row>
    <row r="38" ht="12.75" customHeight="1"/>
    <row r="39" ht="12.75" customHeight="1"/>
    <row r="40" ht="12.75" customHeight="1">
      <c r="F40" s="73" t="s">
        <v>341</v>
      </c>
      <c r="G40" s="73">
        <f>SUM(G42:G189)</f>
        <v>10800</v>
      </c>
      <c r="I40" s="102" t="s">
        <v>357</v>
      </c>
      <c r="J40" s="73" t="s">
        <v>358</v>
      </c>
    </row>
    <row r="41" ht="12.75" customHeight="1">
      <c r="B41" s="213" t="s">
        <v>340</v>
      </c>
      <c r="C41" s="225">
        <v>0.0</v>
      </c>
      <c r="E41" s="217" t="s">
        <v>342</v>
      </c>
    </row>
    <row r="42" ht="12.75" customHeight="1">
      <c r="B42" s="226" t="s">
        <v>28</v>
      </c>
      <c r="C42" s="227">
        <f>C37+D37+E37+F37+G37+H37+I37+J37+K37+L37+M37+N37+O37+P37+Q37+R37+S37+T37+U37+V37+W37+C41</f>
        <v>21100</v>
      </c>
      <c r="E42" s="73">
        <v>1.0</v>
      </c>
      <c r="F42" s="73" t="s">
        <v>164</v>
      </c>
      <c r="G42" s="73">
        <v>7500.0</v>
      </c>
    </row>
    <row r="43" ht="12.75" customHeight="1">
      <c r="B43" s="218" t="s">
        <v>29</v>
      </c>
      <c r="C43" s="228">
        <f>G40</f>
        <v>10800</v>
      </c>
      <c r="E43" s="73">
        <v>2.0</v>
      </c>
      <c r="F43" s="73" t="s">
        <v>170</v>
      </c>
      <c r="G43" s="73">
        <v>3300.0</v>
      </c>
    </row>
    <row r="44" ht="12.75" customHeight="1">
      <c r="B44" s="226" t="s">
        <v>30</v>
      </c>
      <c r="C44" s="228">
        <f>C42-C43</f>
        <v>10300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3">
    <mergeCell ref="A1:H1"/>
    <mergeCell ref="A37:B37"/>
    <mergeCell ref="E41:F41"/>
  </mergeCells>
  <conditionalFormatting sqref="C2:W3 C4:F4 C5:W37 H4:W4">
    <cfRule type="containsText" dxfId="3" priority="1" operator="containsText" text="By Mgmt">
      <formula>NOT(ISERROR(SEARCH(("By Mgmt"),(C2))))</formula>
    </cfRule>
  </conditionalFormatting>
  <conditionalFormatting sqref="C3:W36">
    <cfRule type="containsText" dxfId="0" priority="2" operator="containsText" text="Absent">
      <formula>NOT(ISERROR(SEARCH(("Absent"),(C3))))</formula>
    </cfRule>
  </conditionalFormatting>
  <conditionalFormatting sqref="C3:W36">
    <cfRule type="cellIs" dxfId="1" priority="3" operator="equal">
      <formula>0</formula>
    </cfRule>
  </conditionalFormatting>
  <conditionalFormatting sqref="D23">
    <cfRule type="cellIs" dxfId="2" priority="4" operator="equal">
      <formula>0</formula>
    </cfRule>
  </conditionalFormatting>
  <conditionalFormatting sqref="D27">
    <cfRule type="cellIs" dxfId="2" priority="5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9.63"/>
    <col customWidth="1" min="3" max="3" width="6.88"/>
    <col customWidth="1" min="4" max="4" width="25.88"/>
    <col customWidth="1" min="5" max="5" width="19.13"/>
    <col customWidth="1" min="6" max="6" width="18.38"/>
    <col customWidth="1" min="7" max="8" width="8.63"/>
    <col customWidth="1" min="9" max="9" width="6.75"/>
    <col customWidth="1" min="10" max="10" width="13.38"/>
    <col customWidth="1" min="11" max="11" width="22.63"/>
    <col customWidth="1" min="12" max="12" width="18.25"/>
    <col customWidth="1" min="13" max="13" width="18.13"/>
  </cols>
  <sheetData>
    <row r="1" ht="12.75" customHeight="1">
      <c r="A1" s="229" t="s">
        <v>359</v>
      </c>
      <c r="B1" s="18"/>
      <c r="C1" s="230" t="s">
        <v>360</v>
      </c>
      <c r="D1" s="18"/>
      <c r="G1" s="73" t="s">
        <v>361</v>
      </c>
      <c r="I1" s="231" t="s">
        <v>31</v>
      </c>
      <c r="J1" s="232" t="s">
        <v>362</v>
      </c>
      <c r="K1" s="233" t="s">
        <v>363</v>
      </c>
    </row>
    <row r="2" ht="12.75" customHeight="1">
      <c r="A2" s="234">
        <v>1.0</v>
      </c>
      <c r="B2" s="235" t="s">
        <v>58</v>
      </c>
      <c r="C2" s="236">
        <v>1.0</v>
      </c>
      <c r="D2" s="236" t="s">
        <v>364</v>
      </c>
      <c r="I2" s="237">
        <v>1.0</v>
      </c>
      <c r="J2" s="238" t="s">
        <v>109</v>
      </c>
      <c r="K2" s="239" t="s">
        <v>107</v>
      </c>
    </row>
    <row r="3" ht="12.75" customHeight="1">
      <c r="A3" s="234">
        <v>2.0</v>
      </c>
      <c r="B3" s="240" t="s">
        <v>114</v>
      </c>
      <c r="C3" s="236">
        <v>2.0</v>
      </c>
      <c r="D3" s="236" t="s">
        <v>127</v>
      </c>
      <c r="I3" s="237">
        <v>2.0</v>
      </c>
      <c r="J3" s="238" t="s">
        <v>54</v>
      </c>
      <c r="K3" s="239" t="s">
        <v>365</v>
      </c>
    </row>
    <row r="4" ht="12.75" customHeight="1">
      <c r="A4" s="234">
        <v>3.0</v>
      </c>
      <c r="B4" s="240" t="s">
        <v>107</v>
      </c>
      <c r="C4" s="236">
        <v>3.0</v>
      </c>
      <c r="D4" s="241" t="s">
        <v>348</v>
      </c>
      <c r="I4" s="237">
        <v>3.0</v>
      </c>
      <c r="J4" s="238" t="s">
        <v>366</v>
      </c>
      <c r="K4" s="242" t="s">
        <v>58</v>
      </c>
    </row>
    <row r="5" ht="12.75" customHeight="1">
      <c r="A5" s="234">
        <v>4.0</v>
      </c>
      <c r="B5" s="240" t="s">
        <v>367</v>
      </c>
      <c r="C5" s="236">
        <v>4.0</v>
      </c>
      <c r="D5" s="241" t="s">
        <v>368</v>
      </c>
      <c r="I5" s="237">
        <v>4.0</v>
      </c>
      <c r="J5" s="238" t="s">
        <v>11</v>
      </c>
      <c r="K5" s="239" t="s">
        <v>114</v>
      </c>
    </row>
    <row r="6" ht="12.75" customHeight="1">
      <c r="A6" s="234">
        <v>5.0</v>
      </c>
      <c r="B6" s="240" t="s">
        <v>369</v>
      </c>
      <c r="C6" s="236">
        <v>5.0</v>
      </c>
      <c r="D6" s="236" t="s">
        <v>285</v>
      </c>
      <c r="I6" s="237">
        <v>5.0</v>
      </c>
      <c r="J6" s="238" t="s">
        <v>117</v>
      </c>
      <c r="K6" s="239" t="s">
        <v>115</v>
      </c>
    </row>
    <row r="7" ht="12.75" customHeight="1">
      <c r="A7" s="234">
        <v>6.0</v>
      </c>
      <c r="B7" s="234" t="s">
        <v>366</v>
      </c>
      <c r="C7" s="236">
        <v>6.0</v>
      </c>
      <c r="D7" s="241" t="s">
        <v>370</v>
      </c>
      <c r="I7" s="237">
        <v>6.0</v>
      </c>
      <c r="J7" s="238" t="s">
        <v>119</v>
      </c>
      <c r="K7" s="239" t="s">
        <v>116</v>
      </c>
    </row>
    <row r="8" ht="12.75" customHeight="1">
      <c r="A8" s="234">
        <v>7.0</v>
      </c>
      <c r="B8" s="240" t="s">
        <v>125</v>
      </c>
      <c r="C8" s="236">
        <v>7.0</v>
      </c>
      <c r="D8" s="236" t="s">
        <v>39</v>
      </c>
      <c r="I8" s="237">
        <v>7.0</v>
      </c>
      <c r="J8" s="238" t="s">
        <v>21</v>
      </c>
      <c r="K8" s="239" t="s">
        <v>118</v>
      </c>
    </row>
    <row r="9" ht="12.75" customHeight="1">
      <c r="A9" s="234">
        <v>8.0</v>
      </c>
      <c r="B9" s="240" t="s">
        <v>121</v>
      </c>
      <c r="C9" s="236">
        <v>8.0</v>
      </c>
      <c r="D9" s="243" t="s">
        <v>123</v>
      </c>
      <c r="I9" s="237">
        <v>8.0</v>
      </c>
      <c r="J9" s="238" t="s">
        <v>39</v>
      </c>
      <c r="K9" s="244" t="s">
        <v>56</v>
      </c>
    </row>
    <row r="10" ht="12.75" customHeight="1">
      <c r="A10" s="234">
        <v>9.0</v>
      </c>
      <c r="B10" s="240" t="s">
        <v>130</v>
      </c>
      <c r="C10" s="236">
        <v>9.0</v>
      </c>
      <c r="D10" s="241" t="s">
        <v>371</v>
      </c>
      <c r="I10" s="237">
        <v>9.0</v>
      </c>
      <c r="J10" s="238" t="s">
        <v>122</v>
      </c>
      <c r="K10" s="239" t="s">
        <v>121</v>
      </c>
    </row>
    <row r="11" ht="12.75" customHeight="1">
      <c r="A11" s="234">
        <v>10.0</v>
      </c>
      <c r="B11" s="240" t="s">
        <v>119</v>
      </c>
      <c r="C11" s="236">
        <v>10.0</v>
      </c>
      <c r="D11" s="236" t="s">
        <v>111</v>
      </c>
      <c r="I11" s="237">
        <v>10.0</v>
      </c>
      <c r="J11" s="245" t="s">
        <v>123</v>
      </c>
      <c r="K11" s="239" t="s">
        <v>46</v>
      </c>
    </row>
    <row r="12" ht="12.75" customHeight="1">
      <c r="A12" s="234">
        <v>11.0</v>
      </c>
      <c r="B12" s="234" t="s">
        <v>62</v>
      </c>
      <c r="C12" s="236">
        <v>11.0</v>
      </c>
      <c r="D12" s="241" t="s">
        <v>11</v>
      </c>
      <c r="I12" s="237">
        <v>11.0</v>
      </c>
      <c r="J12" s="238" t="s">
        <v>124</v>
      </c>
      <c r="K12" s="239" t="s">
        <v>44</v>
      </c>
    </row>
    <row r="13" ht="12.75" customHeight="1">
      <c r="A13" s="234">
        <v>12.0</v>
      </c>
      <c r="B13" s="234" t="s">
        <v>46</v>
      </c>
      <c r="C13" s="236">
        <v>12.0</v>
      </c>
      <c r="D13" s="236" t="s">
        <v>109</v>
      </c>
      <c r="I13" s="237">
        <v>12.0</v>
      </c>
      <c r="J13" s="238" t="s">
        <v>125</v>
      </c>
      <c r="K13" s="239" t="s">
        <v>130</v>
      </c>
    </row>
    <row r="14" ht="12.75" customHeight="1">
      <c r="A14" s="234">
        <v>13.0</v>
      </c>
      <c r="B14" s="234" t="s">
        <v>122</v>
      </c>
      <c r="C14" s="236">
        <v>13.0</v>
      </c>
      <c r="D14" s="246" t="s">
        <v>56</v>
      </c>
      <c r="I14" s="237">
        <v>13.0</v>
      </c>
      <c r="J14" s="238" t="s">
        <v>60</v>
      </c>
      <c r="K14" s="239" t="s">
        <v>371</v>
      </c>
    </row>
    <row r="15" ht="12.75" customHeight="1">
      <c r="A15" s="234">
        <v>14.0</v>
      </c>
      <c r="B15" s="234" t="s">
        <v>60</v>
      </c>
      <c r="C15" s="236">
        <v>14.0</v>
      </c>
      <c r="D15" s="236" t="s">
        <v>61</v>
      </c>
      <c r="I15" s="237">
        <v>14.0</v>
      </c>
      <c r="J15" s="238" t="s">
        <v>127</v>
      </c>
      <c r="K15" s="239" t="s">
        <v>132</v>
      </c>
    </row>
    <row r="16" ht="12.75" customHeight="1">
      <c r="I16" s="237">
        <v>15.0</v>
      </c>
      <c r="J16" s="238" t="s">
        <v>348</v>
      </c>
      <c r="K16" s="239" t="s">
        <v>131</v>
      </c>
    </row>
    <row r="17" ht="12.75" customHeight="1">
      <c r="I17" s="237">
        <v>16.0</v>
      </c>
      <c r="J17" s="238" t="s">
        <v>25</v>
      </c>
      <c r="K17" s="242"/>
    </row>
    <row r="18" ht="12.75" customHeight="1"/>
    <row r="20" ht="1.5" customHeight="1"/>
    <row r="21" ht="12.75" customHeight="1">
      <c r="A21" s="247" t="s">
        <v>359</v>
      </c>
      <c r="B21" s="18"/>
      <c r="C21" s="248" t="s">
        <v>360</v>
      </c>
      <c r="D21" s="18"/>
      <c r="E21" s="16"/>
      <c r="I21" s="249" t="s">
        <v>372</v>
      </c>
      <c r="J21" s="250"/>
      <c r="K21" s="250"/>
      <c r="L21" s="250"/>
      <c r="M21" s="251"/>
    </row>
    <row r="22" ht="12.75" customHeight="1">
      <c r="A22" s="252">
        <v>1.0</v>
      </c>
      <c r="B22" s="253" t="s">
        <v>107</v>
      </c>
      <c r="C22" s="254">
        <v>1.0</v>
      </c>
      <c r="D22" s="188" t="s">
        <v>117</v>
      </c>
      <c r="E22" s="16"/>
      <c r="I22" s="255"/>
      <c r="M22" s="256"/>
    </row>
    <row r="23" ht="12.75" customHeight="1">
      <c r="A23" s="252">
        <v>2.0</v>
      </c>
      <c r="B23" s="253" t="s">
        <v>114</v>
      </c>
      <c r="C23" s="254">
        <v>2.0</v>
      </c>
      <c r="D23" s="188" t="s">
        <v>23</v>
      </c>
      <c r="E23" s="16"/>
      <c r="I23" s="255"/>
      <c r="M23" s="256"/>
    </row>
    <row r="24" ht="12.75" customHeight="1">
      <c r="A24" s="252">
        <v>3.0</v>
      </c>
      <c r="B24" s="253" t="s">
        <v>125</v>
      </c>
      <c r="C24" s="254">
        <v>3.0</v>
      </c>
      <c r="D24" s="188" t="s">
        <v>118</v>
      </c>
      <c r="E24" s="16"/>
      <c r="I24" s="257"/>
      <c r="J24" s="220"/>
      <c r="K24" s="220"/>
      <c r="L24" s="220"/>
      <c r="M24" s="258"/>
    </row>
    <row r="25" ht="12.75" customHeight="1">
      <c r="A25" s="252">
        <v>4.0</v>
      </c>
      <c r="B25" s="253" t="s">
        <v>112</v>
      </c>
      <c r="C25" s="254">
        <v>4.0</v>
      </c>
      <c r="D25" s="188" t="s">
        <v>373</v>
      </c>
      <c r="E25" s="16"/>
      <c r="I25" s="259" t="s">
        <v>374</v>
      </c>
      <c r="J25" s="260" t="s">
        <v>375</v>
      </c>
      <c r="K25" s="260" t="s">
        <v>376</v>
      </c>
      <c r="L25" s="260" t="s">
        <v>377</v>
      </c>
      <c r="M25" s="260" t="s">
        <v>378</v>
      </c>
    </row>
    <row r="26" ht="12.75" customHeight="1">
      <c r="A26" s="252">
        <v>5.0</v>
      </c>
      <c r="B26" s="253" t="s">
        <v>379</v>
      </c>
      <c r="C26" s="254">
        <v>5.0</v>
      </c>
      <c r="D26" s="188" t="s">
        <v>11</v>
      </c>
      <c r="E26" s="261"/>
      <c r="I26" s="262">
        <v>1.0</v>
      </c>
      <c r="J26" s="263" t="s">
        <v>380</v>
      </c>
      <c r="K26" s="263" t="s">
        <v>381</v>
      </c>
      <c r="L26" s="264" t="s">
        <v>382</v>
      </c>
      <c r="M26" s="264" t="s">
        <v>383</v>
      </c>
    </row>
    <row r="27" ht="12.75" customHeight="1">
      <c r="A27" s="252">
        <v>6.0</v>
      </c>
      <c r="B27" s="253" t="s">
        <v>121</v>
      </c>
      <c r="C27" s="254">
        <v>6.0</v>
      </c>
      <c r="D27" s="188" t="s">
        <v>128</v>
      </c>
      <c r="E27" s="16"/>
      <c r="I27" s="265">
        <v>2.0</v>
      </c>
      <c r="J27" s="266" t="s">
        <v>384</v>
      </c>
      <c r="K27" s="266" t="s">
        <v>385</v>
      </c>
      <c r="L27" s="267" t="s">
        <v>383</v>
      </c>
      <c r="M27" s="267" t="s">
        <v>386</v>
      </c>
    </row>
    <row r="28" ht="12.75" customHeight="1">
      <c r="A28" s="252">
        <v>7.0</v>
      </c>
      <c r="B28" s="253" t="s">
        <v>63</v>
      </c>
      <c r="C28" s="254">
        <v>7.0</v>
      </c>
      <c r="D28" s="188" t="s">
        <v>39</v>
      </c>
      <c r="E28" s="16"/>
      <c r="I28" s="262">
        <v>3.0</v>
      </c>
      <c r="J28" s="263" t="s">
        <v>387</v>
      </c>
      <c r="K28" s="263" t="s">
        <v>388</v>
      </c>
      <c r="L28" s="264" t="s">
        <v>389</v>
      </c>
      <c r="M28" s="264" t="s">
        <v>383</v>
      </c>
    </row>
    <row r="29" ht="12.75" customHeight="1">
      <c r="A29" s="252">
        <v>8.0</v>
      </c>
      <c r="B29" s="253" t="s">
        <v>88</v>
      </c>
      <c r="C29" s="254">
        <v>8.0</v>
      </c>
      <c r="D29" s="188" t="s">
        <v>129</v>
      </c>
      <c r="E29" s="16"/>
      <c r="F29" s="13"/>
      <c r="I29" s="265">
        <v>4.0</v>
      </c>
      <c r="J29" s="266" t="s">
        <v>390</v>
      </c>
      <c r="K29" s="266" t="s">
        <v>385</v>
      </c>
      <c r="L29" s="267" t="s">
        <v>383</v>
      </c>
      <c r="M29" s="267" t="s">
        <v>391</v>
      </c>
    </row>
    <row r="30" ht="12.75" customHeight="1">
      <c r="A30" s="252">
        <v>9.0</v>
      </c>
      <c r="B30" s="268" t="s">
        <v>58</v>
      </c>
      <c r="C30" s="254">
        <v>9.0</v>
      </c>
      <c r="D30" s="188" t="s">
        <v>25</v>
      </c>
      <c r="E30" s="16"/>
    </row>
    <row r="31" ht="12.75" customHeight="1">
      <c r="A31" s="252">
        <v>10.0</v>
      </c>
      <c r="B31" s="253" t="s">
        <v>116</v>
      </c>
      <c r="C31" s="254">
        <v>10.0</v>
      </c>
      <c r="D31" s="188" t="s">
        <v>127</v>
      </c>
      <c r="E31" s="16"/>
      <c r="I31" s="269" t="s">
        <v>31</v>
      </c>
      <c r="J31" s="270" t="s">
        <v>362</v>
      </c>
      <c r="K31" s="18"/>
      <c r="L31" s="270" t="s">
        <v>363</v>
      </c>
      <c r="M31" s="18"/>
    </row>
    <row r="32" ht="12.75" customHeight="1">
      <c r="A32" s="252">
        <v>11.0</v>
      </c>
      <c r="B32" s="268" t="s">
        <v>123</v>
      </c>
      <c r="C32" s="254">
        <v>11.0</v>
      </c>
      <c r="D32" s="188" t="s">
        <v>115</v>
      </c>
      <c r="E32" s="16"/>
      <c r="I32" s="237">
        <v>1.0</v>
      </c>
      <c r="J32" s="271" t="s">
        <v>109</v>
      </c>
      <c r="K32" s="18"/>
      <c r="L32" s="272" t="s">
        <v>107</v>
      </c>
      <c r="M32" s="18"/>
    </row>
    <row r="33" ht="12.75" customHeight="1">
      <c r="A33" s="252">
        <v>12.0</v>
      </c>
      <c r="B33" s="253" t="s">
        <v>122</v>
      </c>
      <c r="C33" s="254">
        <v>12.0</v>
      </c>
      <c r="D33" s="188" t="s">
        <v>21</v>
      </c>
      <c r="E33" s="16"/>
      <c r="I33" s="237">
        <v>2.0</v>
      </c>
      <c r="J33" s="271" t="s">
        <v>54</v>
      </c>
      <c r="K33" s="18"/>
      <c r="L33" s="272" t="s">
        <v>365</v>
      </c>
      <c r="M33" s="18"/>
    </row>
    <row r="34" ht="12.75" customHeight="1">
      <c r="A34" s="252">
        <v>13.0</v>
      </c>
      <c r="B34" s="253" t="s">
        <v>119</v>
      </c>
      <c r="C34" s="254">
        <v>13.0</v>
      </c>
      <c r="D34" s="273" t="s">
        <v>56</v>
      </c>
      <c r="E34" s="16"/>
      <c r="I34" s="237">
        <v>3.0</v>
      </c>
      <c r="J34" s="271" t="s">
        <v>366</v>
      </c>
      <c r="K34" s="18"/>
      <c r="L34" s="272" t="s">
        <v>58</v>
      </c>
      <c r="M34" s="18"/>
    </row>
    <row r="35" ht="12.75" customHeight="1">
      <c r="A35" s="252">
        <v>14.0</v>
      </c>
      <c r="B35" s="253" t="s">
        <v>54</v>
      </c>
      <c r="C35" s="254">
        <v>14.0</v>
      </c>
      <c r="D35" s="188" t="s">
        <v>131</v>
      </c>
      <c r="E35" s="16"/>
      <c r="I35" s="237">
        <v>4.0</v>
      </c>
      <c r="J35" s="271" t="s">
        <v>11</v>
      </c>
      <c r="K35" s="18"/>
      <c r="L35" s="272" t="s">
        <v>114</v>
      </c>
      <c r="M35" s="18"/>
    </row>
    <row r="36" ht="12.75" customHeight="1">
      <c r="A36" s="252">
        <v>15.0</v>
      </c>
      <c r="B36" s="253" t="s">
        <v>130</v>
      </c>
      <c r="C36" s="254">
        <v>15.0</v>
      </c>
      <c r="D36" s="188" t="s">
        <v>109</v>
      </c>
      <c r="E36" s="16"/>
      <c r="I36" s="237">
        <v>5.0</v>
      </c>
      <c r="J36" s="271" t="s">
        <v>117</v>
      </c>
      <c r="K36" s="18"/>
      <c r="L36" s="272" t="s">
        <v>115</v>
      </c>
      <c r="M36" s="18"/>
    </row>
    <row r="37" ht="12.75" customHeight="1">
      <c r="A37" s="252">
        <v>16.0</v>
      </c>
      <c r="B37" s="253" t="s">
        <v>60</v>
      </c>
      <c r="C37" s="254">
        <v>16.0</v>
      </c>
      <c r="D37" s="188" t="s">
        <v>14</v>
      </c>
      <c r="E37" s="16"/>
      <c r="I37" s="237">
        <v>6.0</v>
      </c>
      <c r="J37" s="271" t="s">
        <v>119</v>
      </c>
      <c r="K37" s="18"/>
      <c r="L37" s="272" t="s">
        <v>116</v>
      </c>
      <c r="M37" s="18"/>
    </row>
    <row r="38" ht="12.75" customHeight="1">
      <c r="A38" s="252">
        <v>17.0</v>
      </c>
      <c r="B38" s="253" t="s">
        <v>124</v>
      </c>
      <c r="I38" s="237">
        <v>7.0</v>
      </c>
      <c r="J38" s="271" t="s">
        <v>21</v>
      </c>
      <c r="K38" s="18"/>
      <c r="L38" s="272" t="s">
        <v>118</v>
      </c>
      <c r="M38" s="18"/>
    </row>
    <row r="39" ht="12.75" customHeight="1">
      <c r="I39" s="237">
        <v>8.0</v>
      </c>
      <c r="J39" s="271" t="s">
        <v>25</v>
      </c>
      <c r="K39" s="18"/>
      <c r="L39" s="272" t="s">
        <v>56</v>
      </c>
      <c r="M39" s="18"/>
    </row>
    <row r="40" ht="12.75" customHeight="1">
      <c r="I40" s="237">
        <v>9.0</v>
      </c>
      <c r="J40" s="271" t="s">
        <v>122</v>
      </c>
      <c r="K40" s="18"/>
      <c r="L40" s="272" t="s">
        <v>121</v>
      </c>
      <c r="M40" s="18"/>
    </row>
    <row r="41" ht="12.75" customHeight="1">
      <c r="I41" s="237">
        <v>10.0</v>
      </c>
      <c r="J41" s="271" t="s">
        <v>123</v>
      </c>
      <c r="K41" s="18"/>
      <c r="L41" s="272" t="s">
        <v>46</v>
      </c>
      <c r="M41" s="18"/>
    </row>
    <row r="42" ht="12.75" customHeight="1">
      <c r="I42" s="237">
        <v>11.0</v>
      </c>
      <c r="J42" s="271" t="s">
        <v>124</v>
      </c>
      <c r="K42" s="18"/>
      <c r="L42" s="272" t="s">
        <v>44</v>
      </c>
      <c r="M42" s="18"/>
    </row>
    <row r="43" ht="12.75" customHeight="1">
      <c r="I43" s="237">
        <v>12.0</v>
      </c>
      <c r="J43" s="271" t="s">
        <v>125</v>
      </c>
      <c r="K43" s="18"/>
      <c r="L43" s="272" t="s">
        <v>130</v>
      </c>
      <c r="M43" s="18"/>
    </row>
    <row r="44" ht="12.75" customHeight="1">
      <c r="I44" s="237">
        <v>13.0</v>
      </c>
      <c r="J44" s="271" t="s">
        <v>60</v>
      </c>
      <c r="K44" s="18"/>
      <c r="L44" s="272" t="s">
        <v>371</v>
      </c>
      <c r="M44" s="18"/>
    </row>
    <row r="45" ht="12.75" customHeight="1">
      <c r="I45" s="237">
        <v>14.0</v>
      </c>
      <c r="J45" s="271" t="s">
        <v>127</v>
      </c>
      <c r="K45" s="18"/>
      <c r="L45" s="272" t="s">
        <v>132</v>
      </c>
      <c r="M45" s="18"/>
    </row>
    <row r="46" ht="12.75" customHeight="1">
      <c r="I46" s="237">
        <v>15.0</v>
      </c>
      <c r="J46" s="271" t="s">
        <v>348</v>
      </c>
      <c r="K46" s="18"/>
      <c r="L46" s="272" t="s">
        <v>131</v>
      </c>
      <c r="M46" s="18"/>
    </row>
    <row r="47" ht="12.75" customHeight="1">
      <c r="I47" s="237">
        <v>16.0</v>
      </c>
      <c r="J47" s="271" t="s">
        <v>23</v>
      </c>
      <c r="K47" s="18"/>
      <c r="L47" s="272" t="s">
        <v>39</v>
      </c>
      <c r="M47" s="18"/>
    </row>
    <row r="48" ht="12.75" customHeight="1"/>
    <row r="49" ht="12.75" customHeight="1">
      <c r="A49" s="274" t="s">
        <v>359</v>
      </c>
      <c r="B49" s="18"/>
      <c r="C49" s="170" t="s">
        <v>360</v>
      </c>
      <c r="D49" s="18"/>
    </row>
    <row r="50" ht="12.75" customHeight="1">
      <c r="A50" s="275">
        <v>1.0</v>
      </c>
      <c r="B50" s="275" t="s">
        <v>392</v>
      </c>
      <c r="C50" s="276">
        <v>1.0</v>
      </c>
      <c r="D50" s="276" t="s">
        <v>393</v>
      </c>
    </row>
    <row r="51" ht="12.75" customHeight="1">
      <c r="A51" s="275">
        <v>2.0</v>
      </c>
      <c r="B51" s="275" t="s">
        <v>121</v>
      </c>
      <c r="C51" s="276">
        <v>2.0</v>
      </c>
      <c r="D51" s="276" t="s">
        <v>66</v>
      </c>
    </row>
    <row r="52" ht="12.75" customHeight="1">
      <c r="A52" s="277">
        <v>3.0</v>
      </c>
      <c r="B52" s="275" t="s">
        <v>394</v>
      </c>
      <c r="C52" s="276">
        <v>3.0</v>
      </c>
      <c r="D52" s="276" t="s">
        <v>395</v>
      </c>
    </row>
    <row r="53" ht="12.75" customHeight="1">
      <c r="A53" s="275">
        <v>4.0</v>
      </c>
      <c r="B53" s="275" t="s">
        <v>114</v>
      </c>
      <c r="C53" s="276">
        <v>4.0</v>
      </c>
      <c r="D53" s="276" t="s">
        <v>396</v>
      </c>
    </row>
    <row r="54" ht="12.75" customHeight="1">
      <c r="A54" s="275">
        <v>5.0</v>
      </c>
      <c r="B54" s="275" t="s">
        <v>70</v>
      </c>
      <c r="C54" s="276">
        <v>5.0</v>
      </c>
      <c r="D54" s="276" t="s">
        <v>123</v>
      </c>
    </row>
    <row r="55" ht="12.75" customHeight="1">
      <c r="A55" s="275">
        <v>6.0</v>
      </c>
      <c r="B55" s="275" t="s">
        <v>58</v>
      </c>
      <c r="C55" s="276">
        <v>6.0</v>
      </c>
      <c r="D55" s="276" t="s">
        <v>397</v>
      </c>
    </row>
    <row r="56" ht="12.75" customHeight="1">
      <c r="A56" s="275">
        <v>7.0</v>
      </c>
      <c r="B56" s="275" t="s">
        <v>128</v>
      </c>
      <c r="C56" s="276">
        <v>7.0</v>
      </c>
      <c r="D56" s="276" t="s">
        <v>398</v>
      </c>
    </row>
    <row r="57" ht="12.75" customHeight="1">
      <c r="A57" s="275">
        <v>8.0</v>
      </c>
      <c r="B57" s="275" t="s">
        <v>112</v>
      </c>
      <c r="C57" s="276">
        <v>8.0</v>
      </c>
      <c r="D57" s="276" t="s">
        <v>44</v>
      </c>
    </row>
    <row r="58" ht="12.75" customHeight="1">
      <c r="A58" s="275">
        <v>9.0</v>
      </c>
      <c r="B58" s="275" t="s">
        <v>125</v>
      </c>
      <c r="C58" s="276">
        <v>9.0</v>
      </c>
      <c r="D58" s="276" t="s">
        <v>118</v>
      </c>
    </row>
    <row r="59" ht="12.75" customHeight="1">
      <c r="A59" s="275">
        <v>10.0</v>
      </c>
      <c r="B59" s="275" t="s">
        <v>399</v>
      </c>
      <c r="C59" s="276">
        <v>10.0</v>
      </c>
      <c r="D59" s="276" t="s">
        <v>69</v>
      </c>
    </row>
    <row r="60" ht="12.75" customHeight="1">
      <c r="A60" s="275">
        <v>11.0</v>
      </c>
      <c r="B60" s="275" t="s">
        <v>67</v>
      </c>
      <c r="C60" s="276">
        <v>11.0</v>
      </c>
      <c r="D60" s="276" t="s">
        <v>23</v>
      </c>
    </row>
    <row r="61" ht="12.75" customHeight="1">
      <c r="A61" s="275">
        <v>12.0</v>
      </c>
      <c r="B61" s="275" t="s">
        <v>400</v>
      </c>
      <c r="C61" s="276">
        <v>12.0</v>
      </c>
      <c r="D61" s="276" t="s">
        <v>120</v>
      </c>
    </row>
    <row r="62" ht="12.75" customHeight="1">
      <c r="A62" s="275">
        <v>13.0</v>
      </c>
      <c r="B62" s="275" t="s">
        <v>88</v>
      </c>
      <c r="C62" s="276">
        <v>13.0</v>
      </c>
      <c r="D62" s="276" t="s">
        <v>401</v>
      </c>
    </row>
    <row r="63" ht="12.75" customHeight="1">
      <c r="A63" s="275">
        <v>14.0</v>
      </c>
      <c r="B63" s="275" t="s">
        <v>402</v>
      </c>
      <c r="C63" s="276">
        <v>14.0</v>
      </c>
      <c r="D63" s="276" t="s">
        <v>39</v>
      </c>
    </row>
    <row r="64" ht="12.75" customHeight="1">
      <c r="A64" s="275">
        <v>15.0</v>
      </c>
      <c r="B64" s="275" t="s">
        <v>119</v>
      </c>
      <c r="C64" s="276">
        <v>15.0</v>
      </c>
      <c r="D64" s="276" t="s">
        <v>56</v>
      </c>
    </row>
    <row r="65" ht="12.75" customHeight="1">
      <c r="A65" s="275">
        <v>16.0</v>
      </c>
      <c r="B65" s="275" t="s">
        <v>126</v>
      </c>
      <c r="C65" s="276">
        <v>16.0</v>
      </c>
      <c r="D65" s="276" t="s">
        <v>14</v>
      </c>
    </row>
    <row r="66" ht="12.75" customHeight="1">
      <c r="A66" s="275">
        <v>17.0</v>
      </c>
      <c r="B66" s="275" t="s">
        <v>11</v>
      </c>
      <c r="C66" s="276">
        <v>17.0</v>
      </c>
      <c r="D66" s="276" t="s">
        <v>21</v>
      </c>
    </row>
    <row r="67" ht="12.75" customHeight="1">
      <c r="A67" s="275">
        <v>18.0</v>
      </c>
      <c r="B67" s="275" t="s">
        <v>122</v>
      </c>
      <c r="C67" s="276">
        <v>18.0</v>
      </c>
      <c r="D67" s="276" t="s">
        <v>109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1">
    <mergeCell ref="A1:B1"/>
    <mergeCell ref="C1:D1"/>
    <mergeCell ref="A21:B21"/>
    <mergeCell ref="C21:D21"/>
    <mergeCell ref="I21:M24"/>
    <mergeCell ref="J31:K31"/>
    <mergeCell ref="L31:M31"/>
    <mergeCell ref="J32:K32"/>
    <mergeCell ref="L32:M32"/>
    <mergeCell ref="J33:K33"/>
    <mergeCell ref="L33:M33"/>
    <mergeCell ref="J34:K34"/>
    <mergeCell ref="L34:M34"/>
    <mergeCell ref="L35:M35"/>
    <mergeCell ref="J42:K42"/>
    <mergeCell ref="J43:K43"/>
    <mergeCell ref="J44:K44"/>
    <mergeCell ref="J45:K45"/>
    <mergeCell ref="J46:K46"/>
    <mergeCell ref="J47:K47"/>
    <mergeCell ref="A49:B49"/>
    <mergeCell ref="C49:D49"/>
    <mergeCell ref="J35:K35"/>
    <mergeCell ref="J36:K36"/>
    <mergeCell ref="J37:K37"/>
    <mergeCell ref="J38:K38"/>
    <mergeCell ref="J39:K39"/>
    <mergeCell ref="J40:K40"/>
    <mergeCell ref="J41:K41"/>
    <mergeCell ref="L43:M43"/>
    <mergeCell ref="L44:M44"/>
    <mergeCell ref="L45:M45"/>
    <mergeCell ref="L46:M46"/>
    <mergeCell ref="L47:M47"/>
    <mergeCell ref="L36:M36"/>
    <mergeCell ref="L37:M37"/>
    <mergeCell ref="L38:M38"/>
    <mergeCell ref="L39:M39"/>
    <mergeCell ref="L40:M40"/>
    <mergeCell ref="L41:M41"/>
    <mergeCell ref="L42:M4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75"/>
    <col customWidth="1" min="3" max="3" width="36.38"/>
    <col customWidth="1" min="4" max="4" width="9.38"/>
    <col customWidth="1" min="5" max="5" width="10.13"/>
    <col customWidth="1" min="6" max="6" width="9.13"/>
    <col customWidth="1" min="7" max="7" width="8.88"/>
    <col customWidth="1" min="8" max="8" width="12.25"/>
    <col customWidth="1" min="9" max="26" width="8.63"/>
  </cols>
  <sheetData>
    <row r="1">
      <c r="A1" s="278" t="s">
        <v>403</v>
      </c>
      <c r="B1" s="279"/>
      <c r="C1" s="279"/>
      <c r="D1" s="279"/>
      <c r="E1" s="279"/>
      <c r="F1" s="279"/>
      <c r="G1" s="279"/>
      <c r="H1" s="280"/>
    </row>
    <row r="2" ht="18.0" customHeight="1">
      <c r="A2" s="281" t="s">
        <v>1</v>
      </c>
      <c r="B2" s="282" t="s">
        <v>404</v>
      </c>
      <c r="C2" s="282" t="s">
        <v>405</v>
      </c>
      <c r="D2" s="282" t="s">
        <v>406</v>
      </c>
      <c r="E2" s="282" t="s">
        <v>407</v>
      </c>
      <c r="F2" s="282" t="s">
        <v>408</v>
      </c>
      <c r="G2" s="282" t="s">
        <v>409</v>
      </c>
      <c r="H2" s="283" t="s">
        <v>410</v>
      </c>
    </row>
    <row r="3" ht="15.0" customHeight="1">
      <c r="A3" s="284">
        <v>1.0</v>
      </c>
      <c r="B3" s="285" t="s">
        <v>411</v>
      </c>
      <c r="C3" s="286" t="s">
        <v>412</v>
      </c>
      <c r="D3" s="287">
        <v>6.0</v>
      </c>
      <c r="E3" s="287"/>
      <c r="F3" s="287"/>
      <c r="G3" s="287"/>
      <c r="H3" s="288">
        <v>6.0</v>
      </c>
    </row>
    <row r="4" ht="12.75" customHeight="1">
      <c r="A4" s="289"/>
      <c r="B4" s="290"/>
      <c r="C4" s="291" t="s">
        <v>412</v>
      </c>
      <c r="D4" s="292">
        <v>5.0</v>
      </c>
      <c r="E4" s="292"/>
      <c r="F4" s="292"/>
      <c r="G4" s="292"/>
      <c r="H4" s="293">
        <v>1.0</v>
      </c>
    </row>
    <row r="5" ht="12.75" customHeight="1">
      <c r="A5" s="294">
        <v>2.0</v>
      </c>
      <c r="B5" s="295" t="s">
        <v>413</v>
      </c>
      <c r="C5" s="296" t="s">
        <v>414</v>
      </c>
      <c r="D5" s="297">
        <v>4.0</v>
      </c>
      <c r="E5" s="297">
        <v>4.0</v>
      </c>
      <c r="F5" s="297"/>
      <c r="G5" s="298"/>
      <c r="H5" s="299"/>
    </row>
    <row r="6" ht="15.0" customHeight="1">
      <c r="A6" s="300">
        <v>3.0</v>
      </c>
      <c r="B6" s="301" t="s">
        <v>415</v>
      </c>
      <c r="C6" s="302" t="s">
        <v>416</v>
      </c>
      <c r="D6" s="303">
        <v>2.0</v>
      </c>
      <c r="E6" s="303">
        <v>1.0</v>
      </c>
      <c r="F6" s="303"/>
      <c r="G6" s="304"/>
      <c r="H6" s="305"/>
    </row>
    <row r="7" ht="12.75" customHeight="1">
      <c r="A7" s="306"/>
      <c r="B7" s="307"/>
      <c r="C7" s="308" t="s">
        <v>417</v>
      </c>
      <c r="D7" s="309">
        <v>1.0</v>
      </c>
      <c r="E7" s="309">
        <v>1.0</v>
      </c>
      <c r="F7" s="309"/>
      <c r="G7" s="252"/>
      <c r="H7" s="310"/>
    </row>
    <row r="8" ht="12.75" customHeight="1">
      <c r="A8" s="306"/>
      <c r="B8" s="307"/>
      <c r="C8" s="308" t="s">
        <v>418</v>
      </c>
      <c r="D8" s="309">
        <v>1.0</v>
      </c>
      <c r="E8" s="309">
        <v>0.0</v>
      </c>
      <c r="F8" s="309"/>
      <c r="G8" s="252">
        <v>1.0</v>
      </c>
      <c r="H8" s="310"/>
    </row>
    <row r="9" ht="12.75" customHeight="1">
      <c r="A9" s="289"/>
      <c r="B9" s="290"/>
      <c r="C9" s="311" t="s">
        <v>419</v>
      </c>
      <c r="D9" s="312">
        <v>2.0</v>
      </c>
      <c r="E9" s="313">
        <v>2.0</v>
      </c>
      <c r="F9" s="313"/>
      <c r="G9" s="313"/>
      <c r="H9" s="314"/>
    </row>
    <row r="10" ht="12.75" customHeight="1">
      <c r="A10" s="315">
        <v>4.0</v>
      </c>
      <c r="B10" s="316" t="s">
        <v>420</v>
      </c>
      <c r="C10" s="317" t="s">
        <v>421</v>
      </c>
      <c r="D10" s="318">
        <v>2.0</v>
      </c>
      <c r="E10" s="318">
        <v>2.0</v>
      </c>
      <c r="F10" s="318"/>
      <c r="G10" s="319"/>
      <c r="H10" s="320"/>
    </row>
    <row r="11" ht="15.0" customHeight="1">
      <c r="A11" s="321">
        <v>5.0</v>
      </c>
      <c r="B11" s="322" t="s">
        <v>422</v>
      </c>
      <c r="C11" s="323" t="s">
        <v>423</v>
      </c>
      <c r="D11" s="324">
        <v>2.0</v>
      </c>
      <c r="E11" s="324"/>
      <c r="F11" s="324"/>
      <c r="G11" s="325"/>
      <c r="H11" s="326"/>
    </row>
    <row r="12" ht="12.75" customHeight="1">
      <c r="A12" s="306"/>
      <c r="B12" s="327"/>
      <c r="C12" s="328" t="s">
        <v>424</v>
      </c>
      <c r="D12" s="329">
        <v>2.0</v>
      </c>
      <c r="E12" s="329"/>
      <c r="F12" s="329"/>
      <c r="G12" s="330"/>
      <c r="H12" s="331"/>
    </row>
    <row r="13" ht="12.75" customHeight="1">
      <c r="A13" s="306"/>
      <c r="B13" s="327"/>
      <c r="C13" s="328" t="s">
        <v>425</v>
      </c>
      <c r="D13" s="329">
        <v>1.0</v>
      </c>
      <c r="E13" s="330"/>
      <c r="F13" s="330"/>
      <c r="G13" s="330"/>
      <c r="H13" s="331"/>
    </row>
    <row r="14" ht="12.75" customHeight="1">
      <c r="A14" s="306"/>
      <c r="B14" s="327"/>
      <c r="C14" s="332" t="s">
        <v>426</v>
      </c>
      <c r="D14" s="330">
        <v>1.0</v>
      </c>
      <c r="E14" s="330"/>
      <c r="F14" s="330"/>
      <c r="G14" s="330"/>
      <c r="H14" s="331"/>
    </row>
    <row r="15" ht="12.75" customHeight="1">
      <c r="A15" s="306"/>
      <c r="B15" s="327"/>
      <c r="C15" s="332" t="s">
        <v>427</v>
      </c>
      <c r="D15" s="330">
        <v>1.0</v>
      </c>
      <c r="E15" s="330"/>
      <c r="F15" s="330"/>
      <c r="G15" s="330"/>
      <c r="H15" s="331"/>
    </row>
    <row r="16" ht="12.75" customHeight="1">
      <c r="A16" s="306"/>
      <c r="B16" s="327"/>
      <c r="C16" s="332" t="s">
        <v>428</v>
      </c>
      <c r="D16" s="330">
        <v>1.0</v>
      </c>
      <c r="E16" s="330"/>
      <c r="F16" s="330"/>
      <c r="G16" s="330"/>
      <c r="H16" s="331"/>
    </row>
    <row r="17" ht="12.75" customHeight="1">
      <c r="A17" s="289"/>
      <c r="B17" s="333"/>
      <c r="C17" s="334" t="s">
        <v>429</v>
      </c>
      <c r="D17" s="335">
        <v>2.0</v>
      </c>
      <c r="E17" s="335"/>
      <c r="F17" s="335"/>
      <c r="G17" s="335"/>
      <c r="H17" s="336"/>
    </row>
    <row r="18" ht="15.0" customHeight="1">
      <c r="A18" s="337">
        <v>6.0</v>
      </c>
      <c r="B18" s="338" t="s">
        <v>430</v>
      </c>
      <c r="C18" s="339" t="s">
        <v>431</v>
      </c>
      <c r="D18" s="340">
        <v>3.0</v>
      </c>
      <c r="E18" s="340"/>
      <c r="F18" s="340"/>
      <c r="G18" s="341"/>
      <c r="H18" s="342"/>
    </row>
    <row r="19" ht="12.75" customHeight="1">
      <c r="A19" s="289"/>
      <c r="B19" s="333"/>
      <c r="C19" s="343" t="s">
        <v>432</v>
      </c>
      <c r="D19" s="344">
        <v>1.0</v>
      </c>
      <c r="E19" s="344"/>
      <c r="F19" s="344"/>
      <c r="G19" s="292"/>
      <c r="H19" s="293"/>
    </row>
    <row r="20" ht="15.0" customHeight="1">
      <c r="A20" s="345">
        <v>7.0</v>
      </c>
      <c r="B20" s="346" t="s">
        <v>433</v>
      </c>
      <c r="C20" s="347" t="s">
        <v>434</v>
      </c>
      <c r="D20" s="348">
        <v>1.0</v>
      </c>
      <c r="E20" s="348"/>
      <c r="F20" s="348"/>
      <c r="G20" s="349"/>
      <c r="H20" s="350"/>
    </row>
    <row r="21" ht="15.0" customHeight="1">
      <c r="A21" s="306"/>
      <c r="B21" s="307"/>
      <c r="C21" s="351" t="s">
        <v>435</v>
      </c>
      <c r="D21" s="352">
        <v>1.0</v>
      </c>
      <c r="E21" s="352"/>
      <c r="F21" s="352"/>
      <c r="G21" s="353"/>
      <c r="H21" s="354"/>
    </row>
    <row r="22" ht="15.0" customHeight="1">
      <c r="A22" s="306"/>
      <c r="B22" s="307"/>
      <c r="C22" s="351" t="s">
        <v>436</v>
      </c>
      <c r="D22" s="352">
        <v>1.0</v>
      </c>
      <c r="E22" s="352"/>
      <c r="F22" s="352"/>
      <c r="G22" s="353"/>
      <c r="H22" s="354"/>
    </row>
    <row r="23" ht="15.75" customHeight="1">
      <c r="A23" s="289"/>
      <c r="B23" s="355"/>
      <c r="C23" s="356" t="s">
        <v>437</v>
      </c>
      <c r="D23" s="357">
        <v>1.0</v>
      </c>
      <c r="E23" s="357"/>
      <c r="F23" s="357"/>
      <c r="G23" s="357"/>
      <c r="H23" s="358"/>
    </row>
    <row r="24" ht="15.0" customHeight="1">
      <c r="A24" s="300">
        <v>8.0</v>
      </c>
      <c r="B24" s="301" t="s">
        <v>438</v>
      </c>
      <c r="C24" s="302" t="s">
        <v>439</v>
      </c>
      <c r="D24" s="303">
        <v>1.0</v>
      </c>
      <c r="E24" s="303"/>
      <c r="F24" s="303"/>
      <c r="G24" s="304"/>
      <c r="H24" s="305"/>
    </row>
    <row r="25" ht="12.75" customHeight="1">
      <c r="A25" s="306"/>
      <c r="B25" s="307"/>
      <c r="C25" s="308" t="s">
        <v>440</v>
      </c>
      <c r="D25" s="309">
        <v>1.0</v>
      </c>
      <c r="E25" s="309"/>
      <c r="F25" s="309"/>
      <c r="G25" s="252"/>
      <c r="H25" s="310"/>
    </row>
    <row r="26" ht="12.75" customHeight="1">
      <c r="A26" s="289"/>
      <c r="B26" s="290"/>
      <c r="C26" s="311" t="s">
        <v>441</v>
      </c>
      <c r="D26" s="312">
        <v>3.0</v>
      </c>
      <c r="E26" s="312"/>
      <c r="F26" s="312"/>
      <c r="G26" s="313"/>
      <c r="H26" s="314"/>
    </row>
    <row r="27" ht="15.0" customHeight="1">
      <c r="A27" s="359">
        <v>9.0</v>
      </c>
      <c r="B27" s="360" t="s">
        <v>442</v>
      </c>
      <c r="C27" s="361" t="s">
        <v>443</v>
      </c>
      <c r="D27" s="362">
        <v>1.0</v>
      </c>
      <c r="E27" s="362"/>
      <c r="F27" s="362"/>
      <c r="G27" s="363"/>
      <c r="H27" s="364"/>
    </row>
    <row r="28" ht="12.75" customHeight="1">
      <c r="A28" s="289"/>
      <c r="B28" s="290"/>
      <c r="C28" s="365" t="s">
        <v>444</v>
      </c>
      <c r="D28" s="366">
        <v>1.0</v>
      </c>
      <c r="E28" s="366"/>
      <c r="F28" s="366"/>
      <c r="G28" s="366"/>
      <c r="H28" s="367"/>
    </row>
    <row r="29" ht="15.0" customHeight="1">
      <c r="A29" s="321">
        <v>10.0</v>
      </c>
      <c r="B29" s="368" t="s">
        <v>445</v>
      </c>
      <c r="C29" s="323" t="s">
        <v>446</v>
      </c>
      <c r="D29" s="324">
        <v>1.0</v>
      </c>
      <c r="E29" s="324"/>
      <c r="F29" s="324"/>
      <c r="G29" s="325"/>
      <c r="H29" s="326"/>
    </row>
    <row r="30" ht="12.75" customHeight="1">
      <c r="A30" s="306"/>
      <c r="B30" s="307"/>
      <c r="C30" s="328" t="s">
        <v>447</v>
      </c>
      <c r="D30" s="329">
        <v>1.0</v>
      </c>
      <c r="E30" s="329"/>
      <c r="F30" s="329"/>
      <c r="G30" s="330"/>
      <c r="H30" s="331"/>
    </row>
    <row r="31" ht="12.75" customHeight="1">
      <c r="A31" s="306"/>
      <c r="B31" s="307"/>
      <c r="C31" s="328" t="s">
        <v>448</v>
      </c>
      <c r="D31" s="329">
        <v>1.0</v>
      </c>
      <c r="E31" s="329"/>
      <c r="F31" s="329"/>
      <c r="G31" s="330"/>
      <c r="H31" s="331"/>
    </row>
    <row r="32" ht="12.75" customHeight="1">
      <c r="A32" s="306"/>
      <c r="B32" s="307"/>
      <c r="C32" s="328" t="s">
        <v>449</v>
      </c>
      <c r="D32" s="329">
        <v>1.0</v>
      </c>
      <c r="E32" s="329"/>
      <c r="F32" s="329"/>
      <c r="G32" s="330"/>
      <c r="H32" s="331"/>
    </row>
    <row r="33" ht="12.75" customHeight="1">
      <c r="A33" s="289"/>
      <c r="B33" s="290"/>
      <c r="C33" s="334" t="s">
        <v>450</v>
      </c>
      <c r="D33" s="335">
        <v>1.0</v>
      </c>
      <c r="E33" s="335"/>
      <c r="F33" s="335"/>
      <c r="G33" s="335"/>
      <c r="H33" s="336"/>
    </row>
    <row r="34" ht="12.75" customHeight="1">
      <c r="A34" s="369">
        <v>11.0</v>
      </c>
      <c r="B34" s="370" t="s">
        <v>451</v>
      </c>
      <c r="C34" s="371" t="s">
        <v>451</v>
      </c>
      <c r="D34" s="372">
        <v>1.0</v>
      </c>
      <c r="E34" s="373"/>
      <c r="F34" s="373"/>
      <c r="G34" s="373"/>
      <c r="H34" s="374"/>
    </row>
    <row r="35" ht="15.0" customHeight="1">
      <c r="A35" s="345">
        <v>12.0</v>
      </c>
      <c r="B35" s="375" t="s">
        <v>452</v>
      </c>
      <c r="C35" s="376" t="s">
        <v>453</v>
      </c>
      <c r="D35" s="377">
        <v>7.0</v>
      </c>
      <c r="E35" s="377"/>
      <c r="F35" s="377"/>
      <c r="G35" s="378"/>
      <c r="H35" s="379"/>
    </row>
    <row r="36" ht="12.75" customHeight="1">
      <c r="A36" s="289"/>
      <c r="B36" s="290"/>
      <c r="C36" s="380" t="s">
        <v>454</v>
      </c>
      <c r="D36" s="381">
        <v>9.0</v>
      </c>
      <c r="E36" s="381"/>
      <c r="F36" s="381"/>
      <c r="G36" s="382"/>
      <c r="H36" s="383"/>
    </row>
    <row r="37" ht="15.0" customHeight="1">
      <c r="A37" s="359">
        <v>13.0</v>
      </c>
      <c r="B37" s="360" t="s">
        <v>455</v>
      </c>
      <c r="C37" s="361" t="s">
        <v>456</v>
      </c>
      <c r="D37" s="362">
        <v>2.0</v>
      </c>
      <c r="E37" s="362"/>
      <c r="F37" s="362"/>
      <c r="G37" s="363"/>
      <c r="H37" s="364"/>
    </row>
    <row r="38" ht="12.75" customHeight="1">
      <c r="A38" s="306"/>
      <c r="B38" s="307"/>
      <c r="C38" s="384" t="s">
        <v>457</v>
      </c>
      <c r="D38" s="133">
        <v>1.0</v>
      </c>
      <c r="E38" s="133"/>
      <c r="F38" s="133"/>
      <c r="G38" s="254"/>
      <c r="H38" s="385"/>
    </row>
    <row r="39" ht="12.75" customHeight="1">
      <c r="A39" s="289"/>
      <c r="B39" s="290"/>
      <c r="C39" s="386" t="s">
        <v>458</v>
      </c>
      <c r="D39" s="387">
        <v>1.0</v>
      </c>
      <c r="E39" s="387"/>
      <c r="F39" s="387"/>
      <c r="G39" s="366"/>
      <c r="H39" s="367"/>
    </row>
    <row r="40" ht="12.75" customHeight="1">
      <c r="A40" s="388"/>
      <c r="B40" s="389"/>
      <c r="C40" s="389"/>
      <c r="D40" s="390"/>
      <c r="E40" s="390"/>
      <c r="F40" s="390"/>
      <c r="G40" s="390"/>
      <c r="H40" s="391"/>
    </row>
    <row r="41" ht="12.75" customHeight="1">
      <c r="A41" s="392"/>
      <c r="B41" s="10"/>
      <c r="C41" s="10"/>
      <c r="D41" s="393"/>
      <c r="E41" s="393"/>
      <c r="F41" s="393"/>
      <c r="G41" s="393"/>
      <c r="H41" s="394"/>
    </row>
    <row r="42" ht="12.75" customHeight="1">
      <c r="A42" s="395"/>
      <c r="B42" s="396"/>
      <c r="C42" s="396"/>
      <c r="D42" s="397"/>
      <c r="E42" s="397"/>
      <c r="F42" s="397"/>
      <c r="G42" s="397"/>
      <c r="H42" s="398"/>
    </row>
    <row r="43" ht="12.75" customHeight="1">
      <c r="A43" s="399" t="s">
        <v>73</v>
      </c>
      <c r="B43" s="279"/>
      <c r="C43" s="400"/>
      <c r="D43" s="401">
        <f t="shared" ref="D43:H43" si="1">SUM(D3:D42)</f>
        <v>74</v>
      </c>
      <c r="E43" s="401">
        <f t="shared" si="1"/>
        <v>10</v>
      </c>
      <c r="F43" s="401">
        <f t="shared" si="1"/>
        <v>0</v>
      </c>
      <c r="G43" s="401">
        <f t="shared" si="1"/>
        <v>1</v>
      </c>
      <c r="H43" s="402">
        <f t="shared" si="1"/>
        <v>7</v>
      </c>
    </row>
    <row r="44" ht="12.75" customHeight="1">
      <c r="D44" s="217"/>
      <c r="E44" s="217"/>
      <c r="F44" s="217"/>
      <c r="G44" s="217"/>
      <c r="H44" s="217"/>
    </row>
    <row r="45" ht="12.75" customHeight="1">
      <c r="D45" s="217"/>
      <c r="E45" s="217"/>
      <c r="F45" s="217"/>
      <c r="G45" s="217"/>
      <c r="H45" s="217"/>
    </row>
    <row r="46" ht="12.75" customHeight="1">
      <c r="D46" s="217"/>
      <c r="E46" s="217"/>
      <c r="F46" s="217"/>
      <c r="G46" s="217"/>
      <c r="H46" s="217"/>
    </row>
    <row r="47" ht="12.75" customHeight="1">
      <c r="D47" s="217"/>
      <c r="E47" s="217"/>
      <c r="F47" s="217"/>
      <c r="G47" s="217"/>
      <c r="H47" s="217"/>
    </row>
    <row r="48" ht="12.75" customHeight="1">
      <c r="D48" s="217"/>
      <c r="E48" s="217"/>
      <c r="F48" s="217"/>
      <c r="G48" s="217"/>
      <c r="H48" s="217"/>
    </row>
    <row r="49" ht="12.75" customHeight="1">
      <c r="D49" s="217"/>
      <c r="E49" s="217"/>
      <c r="F49" s="217"/>
      <c r="G49" s="217"/>
      <c r="H49" s="217"/>
    </row>
    <row r="50" ht="12.75" customHeight="1">
      <c r="D50" s="217"/>
      <c r="E50" s="217"/>
      <c r="F50" s="217"/>
      <c r="G50" s="217"/>
      <c r="H50" s="217"/>
    </row>
    <row r="51" ht="12.75" customHeight="1">
      <c r="D51" s="217"/>
      <c r="E51" s="217"/>
      <c r="F51" s="217"/>
      <c r="G51" s="217"/>
      <c r="H51" s="217"/>
    </row>
    <row r="52" ht="12.75" customHeight="1">
      <c r="D52" s="217"/>
      <c r="E52" s="217"/>
      <c r="F52" s="217"/>
      <c r="G52" s="217"/>
      <c r="H52" s="217"/>
    </row>
    <row r="53" ht="12.75" customHeight="1">
      <c r="D53" s="217"/>
      <c r="E53" s="217"/>
      <c r="F53" s="217"/>
      <c r="G53" s="217"/>
      <c r="H53" s="217"/>
    </row>
    <row r="54" ht="12.75" customHeight="1">
      <c r="D54" s="217"/>
      <c r="E54" s="217"/>
      <c r="F54" s="217"/>
      <c r="G54" s="217"/>
      <c r="H54" s="217"/>
    </row>
    <row r="55" ht="12.75" customHeight="1">
      <c r="D55" s="217"/>
      <c r="E55" s="217"/>
      <c r="F55" s="217"/>
      <c r="G55" s="217"/>
      <c r="H55" s="217"/>
    </row>
    <row r="56" ht="12.75" customHeight="1">
      <c r="D56" s="217"/>
      <c r="E56" s="217"/>
      <c r="F56" s="217"/>
      <c r="G56" s="217"/>
      <c r="H56" s="217"/>
    </row>
    <row r="57" ht="12.75" customHeight="1">
      <c r="D57" s="217"/>
      <c r="E57" s="217"/>
      <c r="F57" s="217"/>
      <c r="G57" s="217"/>
      <c r="H57" s="217"/>
    </row>
    <row r="58" ht="12.75" customHeight="1">
      <c r="D58" s="217"/>
      <c r="E58" s="217"/>
      <c r="F58" s="217"/>
      <c r="G58" s="217"/>
      <c r="H58" s="217"/>
    </row>
    <row r="59" ht="12.75" customHeight="1">
      <c r="D59" s="217"/>
      <c r="E59" s="217"/>
      <c r="F59" s="217"/>
      <c r="G59" s="217"/>
      <c r="H59" s="217"/>
    </row>
    <row r="60" ht="12.75" customHeight="1">
      <c r="D60" s="217"/>
      <c r="E60" s="217"/>
      <c r="F60" s="217"/>
      <c r="G60" s="217"/>
      <c r="H60" s="217"/>
    </row>
    <row r="61" ht="12.75" customHeight="1">
      <c r="D61" s="217"/>
      <c r="E61" s="217"/>
      <c r="F61" s="217"/>
      <c r="G61" s="217"/>
      <c r="H61" s="217"/>
    </row>
    <row r="62" ht="12.75" customHeight="1">
      <c r="D62" s="217"/>
      <c r="E62" s="217"/>
      <c r="F62" s="217"/>
      <c r="G62" s="217"/>
      <c r="H62" s="217"/>
    </row>
    <row r="63" ht="12.75" customHeight="1">
      <c r="D63" s="217"/>
      <c r="E63" s="217"/>
      <c r="F63" s="217"/>
      <c r="G63" s="217"/>
      <c r="H63" s="217"/>
    </row>
    <row r="64" ht="12.75" customHeight="1">
      <c r="D64" s="217"/>
      <c r="E64" s="217"/>
      <c r="F64" s="217"/>
      <c r="G64" s="217"/>
      <c r="H64" s="217"/>
    </row>
    <row r="65" ht="12.75" customHeight="1">
      <c r="D65" s="217"/>
      <c r="E65" s="217"/>
      <c r="F65" s="217"/>
      <c r="G65" s="217"/>
      <c r="H65" s="217"/>
    </row>
    <row r="66" ht="12.75" customHeight="1">
      <c r="D66" s="217"/>
      <c r="E66" s="217"/>
      <c r="F66" s="217"/>
      <c r="G66" s="217"/>
      <c r="H66" s="217"/>
    </row>
    <row r="67" ht="12.75" customHeight="1">
      <c r="D67" s="217"/>
      <c r="E67" s="217"/>
      <c r="F67" s="217"/>
      <c r="G67" s="217"/>
      <c r="H67" s="217"/>
    </row>
    <row r="68" ht="12.75" customHeight="1">
      <c r="D68" s="217"/>
      <c r="E68" s="217"/>
      <c r="F68" s="217"/>
      <c r="G68" s="217"/>
      <c r="H68" s="217"/>
    </row>
    <row r="69" ht="12.75" customHeight="1">
      <c r="D69" s="217"/>
      <c r="E69" s="217"/>
      <c r="F69" s="217"/>
      <c r="G69" s="217"/>
      <c r="H69" s="217"/>
    </row>
    <row r="70" ht="12.75" customHeight="1">
      <c r="D70" s="217"/>
      <c r="E70" s="217"/>
      <c r="F70" s="217"/>
      <c r="G70" s="217"/>
      <c r="H70" s="217"/>
    </row>
    <row r="71" ht="12.75" customHeight="1">
      <c r="D71" s="217"/>
      <c r="E71" s="217"/>
      <c r="F71" s="217"/>
      <c r="G71" s="217"/>
      <c r="H71" s="217"/>
    </row>
    <row r="72" ht="12.75" customHeight="1">
      <c r="D72" s="217"/>
      <c r="E72" s="217"/>
      <c r="F72" s="217"/>
      <c r="G72" s="217"/>
      <c r="H72" s="217"/>
    </row>
    <row r="73" ht="12.75" customHeight="1">
      <c r="D73" s="217"/>
      <c r="E73" s="217"/>
      <c r="F73" s="217"/>
      <c r="G73" s="217"/>
      <c r="H73" s="217"/>
    </row>
    <row r="74" ht="12.75" customHeight="1">
      <c r="D74" s="217"/>
      <c r="E74" s="217"/>
      <c r="F74" s="217"/>
      <c r="G74" s="217"/>
      <c r="H74" s="217"/>
    </row>
    <row r="75" ht="12.75" customHeight="1">
      <c r="D75" s="217"/>
      <c r="E75" s="217"/>
      <c r="F75" s="217"/>
      <c r="G75" s="217"/>
      <c r="H75" s="217"/>
    </row>
    <row r="76" ht="12.75" customHeight="1">
      <c r="D76" s="217"/>
      <c r="E76" s="217"/>
      <c r="F76" s="217"/>
      <c r="G76" s="217"/>
      <c r="H76" s="217"/>
    </row>
    <row r="77" ht="12.75" customHeight="1">
      <c r="D77" s="217"/>
      <c r="E77" s="217"/>
      <c r="F77" s="217"/>
      <c r="G77" s="217"/>
      <c r="H77" s="217"/>
    </row>
    <row r="78" ht="12.75" customHeight="1">
      <c r="D78" s="217"/>
      <c r="E78" s="217"/>
      <c r="F78" s="217"/>
      <c r="G78" s="217"/>
      <c r="H78" s="217"/>
    </row>
    <row r="79" ht="12.75" customHeight="1">
      <c r="D79" s="217"/>
      <c r="E79" s="217"/>
      <c r="F79" s="217"/>
      <c r="G79" s="217"/>
      <c r="H79" s="217"/>
    </row>
    <row r="80" ht="12.75" customHeight="1">
      <c r="D80" s="217"/>
      <c r="E80" s="217"/>
      <c r="F80" s="217"/>
      <c r="G80" s="217"/>
      <c r="H80" s="217"/>
    </row>
    <row r="81" ht="12.75" customHeight="1">
      <c r="D81" s="217"/>
      <c r="E81" s="217"/>
      <c r="F81" s="217"/>
      <c r="G81" s="217"/>
      <c r="H81" s="217"/>
    </row>
    <row r="82" ht="12.75" customHeight="1">
      <c r="D82" s="217"/>
      <c r="E82" s="217"/>
      <c r="F82" s="217"/>
      <c r="G82" s="217"/>
      <c r="H82" s="217"/>
    </row>
    <row r="83" ht="12.75" customHeight="1">
      <c r="D83" s="217"/>
      <c r="E83" s="217"/>
      <c r="F83" s="217"/>
      <c r="G83" s="217"/>
      <c r="H83" s="217"/>
    </row>
    <row r="84" ht="12.75" customHeight="1">
      <c r="D84" s="217"/>
      <c r="E84" s="217"/>
      <c r="F84" s="217"/>
      <c r="G84" s="217"/>
      <c r="H84" s="217"/>
    </row>
    <row r="85" ht="12.75" customHeight="1">
      <c r="D85" s="217"/>
      <c r="E85" s="217"/>
      <c r="F85" s="217"/>
      <c r="G85" s="217"/>
      <c r="H85" s="217"/>
    </row>
    <row r="86" ht="12.75" customHeight="1">
      <c r="D86" s="217"/>
      <c r="E86" s="217"/>
      <c r="F86" s="217"/>
      <c r="G86" s="217"/>
      <c r="H86" s="217"/>
    </row>
    <row r="87" ht="12.75" customHeight="1">
      <c r="D87" s="217"/>
      <c r="E87" s="217"/>
      <c r="F87" s="217"/>
      <c r="G87" s="217"/>
      <c r="H87" s="217"/>
    </row>
    <row r="88" ht="12.75" customHeight="1">
      <c r="D88" s="217"/>
      <c r="E88" s="217"/>
      <c r="F88" s="217"/>
      <c r="G88" s="217"/>
      <c r="H88" s="217"/>
    </row>
    <row r="89" ht="12.75" customHeight="1">
      <c r="D89" s="217"/>
      <c r="E89" s="217"/>
      <c r="F89" s="217"/>
      <c r="G89" s="217"/>
      <c r="H89" s="217"/>
    </row>
    <row r="90" ht="12.75" customHeight="1">
      <c r="D90" s="217"/>
      <c r="E90" s="217"/>
      <c r="F90" s="217"/>
      <c r="G90" s="217"/>
      <c r="H90" s="217"/>
    </row>
    <row r="91" ht="12.75" customHeight="1">
      <c r="D91" s="217"/>
      <c r="E91" s="217"/>
      <c r="F91" s="217"/>
      <c r="G91" s="217"/>
      <c r="H91" s="217"/>
    </row>
    <row r="92" ht="12.75" customHeight="1">
      <c r="D92" s="217"/>
      <c r="E92" s="217"/>
      <c r="F92" s="217"/>
      <c r="G92" s="217"/>
      <c r="H92" s="217"/>
    </row>
    <row r="93" ht="12.75" customHeight="1">
      <c r="D93" s="217"/>
      <c r="E93" s="217"/>
      <c r="F93" s="217"/>
      <c r="G93" s="217"/>
      <c r="H93" s="217"/>
    </row>
    <row r="94" ht="12.75" customHeight="1">
      <c r="D94" s="217"/>
      <c r="E94" s="217"/>
      <c r="F94" s="217"/>
      <c r="G94" s="217"/>
      <c r="H94" s="217"/>
    </row>
    <row r="95" ht="12.75" customHeight="1">
      <c r="D95" s="217"/>
      <c r="E95" s="217"/>
      <c r="F95" s="217"/>
      <c r="G95" s="217"/>
      <c r="H95" s="217"/>
    </row>
    <row r="96" ht="12.75" customHeight="1">
      <c r="D96" s="217"/>
      <c r="E96" s="217"/>
      <c r="F96" s="217"/>
      <c r="G96" s="217"/>
      <c r="H96" s="217"/>
    </row>
    <row r="97" ht="12.75" customHeight="1">
      <c r="D97" s="217"/>
      <c r="E97" s="217"/>
      <c r="F97" s="217"/>
      <c r="G97" s="217"/>
      <c r="H97" s="217"/>
    </row>
    <row r="98" ht="12.75" customHeight="1">
      <c r="D98" s="217"/>
      <c r="E98" s="217"/>
      <c r="F98" s="217"/>
      <c r="G98" s="217"/>
      <c r="H98" s="217"/>
    </row>
    <row r="99" ht="12.75" customHeight="1">
      <c r="D99" s="217"/>
      <c r="E99" s="217"/>
      <c r="F99" s="217"/>
      <c r="G99" s="217"/>
      <c r="H99" s="217"/>
    </row>
    <row r="100" ht="12.75" customHeight="1">
      <c r="D100" s="217"/>
      <c r="E100" s="217"/>
      <c r="F100" s="217"/>
      <c r="G100" s="217"/>
      <c r="H100" s="217"/>
    </row>
    <row r="101" ht="12.75" customHeight="1">
      <c r="D101" s="217"/>
      <c r="E101" s="217"/>
      <c r="F101" s="217"/>
      <c r="G101" s="217"/>
      <c r="H101" s="217"/>
    </row>
    <row r="102" ht="12.75" customHeight="1">
      <c r="D102" s="217"/>
      <c r="E102" s="217"/>
      <c r="F102" s="217"/>
      <c r="G102" s="217"/>
      <c r="H102" s="217"/>
    </row>
    <row r="103" ht="12.75" customHeight="1">
      <c r="D103" s="217"/>
      <c r="E103" s="217"/>
      <c r="F103" s="217"/>
      <c r="G103" s="217"/>
      <c r="H103" s="217"/>
    </row>
    <row r="104" ht="12.75" customHeight="1">
      <c r="D104" s="217"/>
      <c r="E104" s="217"/>
      <c r="F104" s="217"/>
      <c r="G104" s="217"/>
      <c r="H104" s="217"/>
    </row>
    <row r="105" ht="12.75" customHeight="1">
      <c r="D105" s="217"/>
      <c r="E105" s="217"/>
      <c r="F105" s="217"/>
      <c r="G105" s="217"/>
      <c r="H105" s="217"/>
    </row>
    <row r="106" ht="12.75" customHeight="1">
      <c r="D106" s="217"/>
      <c r="E106" s="217"/>
      <c r="F106" s="217"/>
      <c r="G106" s="217"/>
      <c r="H106" s="217"/>
    </row>
    <row r="107" ht="12.75" customHeight="1">
      <c r="D107" s="217"/>
      <c r="E107" s="217"/>
      <c r="F107" s="217"/>
      <c r="G107" s="217"/>
      <c r="H107" s="217"/>
    </row>
    <row r="108" ht="12.75" customHeight="1">
      <c r="D108" s="217"/>
      <c r="E108" s="217"/>
      <c r="F108" s="217"/>
      <c r="G108" s="217"/>
      <c r="H108" s="217"/>
    </row>
    <row r="109" ht="12.75" customHeight="1">
      <c r="D109" s="217"/>
      <c r="E109" s="217"/>
      <c r="F109" s="217"/>
      <c r="G109" s="217"/>
      <c r="H109" s="217"/>
    </row>
    <row r="110" ht="12.75" customHeight="1">
      <c r="D110" s="217"/>
      <c r="E110" s="217"/>
      <c r="F110" s="217"/>
      <c r="G110" s="217"/>
      <c r="H110" s="217"/>
    </row>
    <row r="111" ht="12.75" customHeight="1">
      <c r="D111" s="217"/>
      <c r="E111" s="217"/>
      <c r="F111" s="217"/>
      <c r="G111" s="217"/>
      <c r="H111" s="217"/>
    </row>
    <row r="112" ht="12.75" customHeight="1">
      <c r="D112" s="217"/>
      <c r="E112" s="217"/>
      <c r="F112" s="217"/>
      <c r="G112" s="217"/>
      <c r="H112" s="217"/>
    </row>
    <row r="113" ht="12.75" customHeight="1">
      <c r="D113" s="217"/>
      <c r="E113" s="217"/>
      <c r="F113" s="217"/>
      <c r="G113" s="217"/>
      <c r="H113" s="217"/>
    </row>
    <row r="114" ht="12.75" customHeight="1">
      <c r="D114" s="217"/>
      <c r="E114" s="217"/>
      <c r="F114" s="217"/>
      <c r="G114" s="217"/>
      <c r="H114" s="217"/>
    </row>
    <row r="115" ht="12.75" customHeight="1">
      <c r="D115" s="217"/>
      <c r="E115" s="217"/>
      <c r="F115" s="217"/>
      <c r="G115" s="217"/>
      <c r="H115" s="217"/>
    </row>
    <row r="116" ht="12.75" customHeight="1">
      <c r="D116" s="217"/>
      <c r="E116" s="217"/>
      <c r="F116" s="217"/>
      <c r="G116" s="217"/>
      <c r="H116" s="217"/>
    </row>
    <row r="117" ht="12.75" customHeight="1">
      <c r="D117" s="217"/>
      <c r="E117" s="217"/>
      <c r="F117" s="217"/>
      <c r="G117" s="217"/>
      <c r="H117" s="217"/>
    </row>
    <row r="118" ht="12.75" customHeight="1">
      <c r="D118" s="217"/>
      <c r="E118" s="217"/>
      <c r="F118" s="217"/>
      <c r="G118" s="217"/>
      <c r="H118" s="217"/>
    </row>
    <row r="119" ht="12.75" customHeight="1">
      <c r="D119" s="217"/>
      <c r="E119" s="217"/>
      <c r="F119" s="217"/>
      <c r="G119" s="217"/>
      <c r="H119" s="217"/>
    </row>
    <row r="120" ht="12.75" customHeight="1">
      <c r="D120" s="217"/>
      <c r="E120" s="217"/>
      <c r="F120" s="217"/>
      <c r="G120" s="217"/>
      <c r="H120" s="217"/>
    </row>
    <row r="121" ht="12.75" customHeight="1">
      <c r="D121" s="217"/>
      <c r="E121" s="217"/>
      <c r="F121" s="217"/>
      <c r="G121" s="217"/>
      <c r="H121" s="217"/>
    </row>
    <row r="122" ht="12.75" customHeight="1">
      <c r="D122" s="217"/>
      <c r="E122" s="217"/>
      <c r="F122" s="217"/>
      <c r="G122" s="217"/>
      <c r="H122" s="217"/>
    </row>
    <row r="123" ht="12.75" customHeight="1">
      <c r="D123" s="217"/>
      <c r="E123" s="217"/>
      <c r="F123" s="217"/>
      <c r="G123" s="217"/>
      <c r="H123" s="217"/>
    </row>
    <row r="124" ht="12.75" customHeight="1">
      <c r="D124" s="217"/>
      <c r="E124" s="217"/>
      <c r="F124" s="217"/>
      <c r="G124" s="217"/>
      <c r="H124" s="217"/>
    </row>
    <row r="125" ht="12.75" customHeight="1">
      <c r="D125" s="217"/>
      <c r="E125" s="217"/>
      <c r="F125" s="217"/>
      <c r="G125" s="217"/>
      <c r="H125" s="217"/>
    </row>
    <row r="126" ht="12.75" customHeight="1">
      <c r="D126" s="217"/>
      <c r="E126" s="217"/>
      <c r="F126" s="217"/>
      <c r="G126" s="217"/>
      <c r="H126" s="217"/>
    </row>
    <row r="127" ht="12.75" customHeight="1">
      <c r="D127" s="217"/>
      <c r="E127" s="217"/>
      <c r="F127" s="217"/>
      <c r="G127" s="217"/>
      <c r="H127" s="217"/>
    </row>
    <row r="128" ht="12.75" customHeight="1">
      <c r="D128" s="217"/>
      <c r="E128" s="217"/>
      <c r="F128" s="217"/>
      <c r="G128" s="217"/>
      <c r="H128" s="217"/>
    </row>
    <row r="129" ht="12.75" customHeight="1">
      <c r="D129" s="217"/>
      <c r="E129" s="217"/>
      <c r="F129" s="217"/>
      <c r="G129" s="217"/>
      <c r="H129" s="217"/>
    </row>
    <row r="130" ht="12.75" customHeight="1">
      <c r="D130" s="217"/>
      <c r="E130" s="217"/>
      <c r="F130" s="217"/>
      <c r="G130" s="217"/>
      <c r="H130" s="217"/>
    </row>
    <row r="131" ht="12.75" customHeight="1">
      <c r="D131" s="217"/>
      <c r="E131" s="217"/>
      <c r="F131" s="217"/>
      <c r="G131" s="217"/>
      <c r="H131" s="217"/>
    </row>
    <row r="132" ht="12.75" customHeight="1">
      <c r="D132" s="217"/>
      <c r="E132" s="217"/>
      <c r="F132" s="217"/>
      <c r="G132" s="217"/>
      <c r="H132" s="217"/>
    </row>
    <row r="133" ht="12.75" customHeight="1">
      <c r="D133" s="217"/>
      <c r="E133" s="217"/>
      <c r="F133" s="217"/>
      <c r="G133" s="217"/>
      <c r="H133" s="217"/>
    </row>
    <row r="134" ht="12.75" customHeight="1">
      <c r="D134" s="217"/>
      <c r="E134" s="217"/>
      <c r="F134" s="217"/>
      <c r="G134" s="217"/>
      <c r="H134" s="217"/>
    </row>
    <row r="135" ht="12.75" customHeight="1">
      <c r="D135" s="217"/>
      <c r="E135" s="217"/>
      <c r="F135" s="217"/>
      <c r="G135" s="217"/>
      <c r="H135" s="217"/>
    </row>
    <row r="136" ht="12.75" customHeight="1">
      <c r="D136" s="217"/>
      <c r="E136" s="217"/>
      <c r="F136" s="217"/>
      <c r="G136" s="217"/>
      <c r="H136" s="217"/>
    </row>
    <row r="137" ht="12.75" customHeight="1">
      <c r="D137" s="217"/>
      <c r="E137" s="217"/>
      <c r="F137" s="217"/>
      <c r="G137" s="217"/>
      <c r="H137" s="217"/>
    </row>
    <row r="138" ht="12.75" customHeight="1">
      <c r="D138" s="217"/>
      <c r="E138" s="217"/>
      <c r="F138" s="217"/>
      <c r="G138" s="217"/>
      <c r="H138" s="217"/>
    </row>
    <row r="139" ht="12.75" customHeight="1">
      <c r="D139" s="217"/>
      <c r="E139" s="217"/>
      <c r="F139" s="217"/>
      <c r="G139" s="217"/>
      <c r="H139" s="217"/>
    </row>
    <row r="140" ht="12.75" customHeight="1">
      <c r="D140" s="217"/>
      <c r="E140" s="217"/>
      <c r="F140" s="217"/>
      <c r="G140" s="217"/>
      <c r="H140" s="217"/>
    </row>
    <row r="141" ht="12.75" customHeight="1">
      <c r="D141" s="217"/>
      <c r="E141" s="217"/>
      <c r="F141" s="217"/>
      <c r="G141" s="217"/>
      <c r="H141" s="217"/>
    </row>
    <row r="142" ht="12.75" customHeight="1">
      <c r="D142" s="217"/>
      <c r="E142" s="217"/>
      <c r="F142" s="217"/>
      <c r="G142" s="217"/>
      <c r="H142" s="217"/>
    </row>
    <row r="143" ht="12.75" customHeight="1">
      <c r="D143" s="217"/>
      <c r="E143" s="217"/>
      <c r="F143" s="217"/>
      <c r="G143" s="217"/>
      <c r="H143" s="217"/>
    </row>
    <row r="144" ht="12.75" customHeight="1">
      <c r="D144" s="217"/>
      <c r="E144" s="217"/>
      <c r="F144" s="217"/>
      <c r="G144" s="217"/>
      <c r="H144" s="217"/>
    </row>
    <row r="145" ht="12.75" customHeight="1">
      <c r="D145" s="217"/>
      <c r="E145" s="217"/>
      <c r="F145" s="217"/>
      <c r="G145" s="217"/>
      <c r="H145" s="217"/>
    </row>
    <row r="146" ht="12.75" customHeight="1">
      <c r="D146" s="217"/>
      <c r="E146" s="217"/>
      <c r="F146" s="217"/>
      <c r="G146" s="217"/>
      <c r="H146" s="217"/>
    </row>
    <row r="147" ht="12.75" customHeight="1">
      <c r="D147" s="217"/>
      <c r="E147" s="217"/>
      <c r="F147" s="217"/>
      <c r="G147" s="217"/>
      <c r="H147" s="217"/>
    </row>
    <row r="148" ht="12.75" customHeight="1">
      <c r="D148" s="217"/>
      <c r="E148" s="217"/>
      <c r="F148" s="217"/>
      <c r="G148" s="217"/>
      <c r="H148" s="217"/>
    </row>
    <row r="149" ht="12.75" customHeight="1">
      <c r="D149" s="217"/>
      <c r="E149" s="217"/>
      <c r="F149" s="217"/>
      <c r="G149" s="217"/>
      <c r="H149" s="217"/>
    </row>
    <row r="150" ht="12.75" customHeight="1">
      <c r="D150" s="217"/>
      <c r="E150" s="217"/>
      <c r="F150" s="217"/>
      <c r="G150" s="217"/>
      <c r="H150" s="217"/>
    </row>
    <row r="151" ht="12.75" customHeight="1">
      <c r="D151" s="217"/>
      <c r="E151" s="217"/>
      <c r="F151" s="217"/>
      <c r="G151" s="217"/>
      <c r="H151" s="217"/>
    </row>
    <row r="152" ht="12.75" customHeight="1">
      <c r="D152" s="217"/>
      <c r="E152" s="217"/>
      <c r="F152" s="217"/>
      <c r="G152" s="217"/>
      <c r="H152" s="217"/>
    </row>
    <row r="153" ht="12.75" customHeight="1">
      <c r="D153" s="217"/>
      <c r="E153" s="217"/>
      <c r="F153" s="217"/>
      <c r="G153" s="217"/>
      <c r="H153" s="217"/>
    </row>
    <row r="154" ht="12.75" customHeight="1">
      <c r="D154" s="217"/>
      <c r="E154" s="217"/>
      <c r="F154" s="217"/>
      <c r="G154" s="217"/>
      <c r="H154" s="217"/>
    </row>
    <row r="155" ht="12.75" customHeight="1">
      <c r="D155" s="217"/>
      <c r="E155" s="217"/>
      <c r="F155" s="217"/>
      <c r="G155" s="217"/>
      <c r="H155" s="217"/>
    </row>
    <row r="156" ht="12.75" customHeight="1">
      <c r="D156" s="217"/>
      <c r="E156" s="217"/>
      <c r="F156" s="217"/>
      <c r="G156" s="217"/>
      <c r="H156" s="217"/>
    </row>
    <row r="157" ht="12.75" customHeight="1">
      <c r="D157" s="217"/>
      <c r="E157" s="217"/>
      <c r="F157" s="217"/>
      <c r="G157" s="217"/>
      <c r="H157" s="217"/>
    </row>
    <row r="158" ht="12.75" customHeight="1">
      <c r="D158" s="217"/>
      <c r="E158" s="217"/>
      <c r="F158" s="217"/>
      <c r="G158" s="217"/>
      <c r="H158" s="217"/>
    </row>
    <row r="159" ht="12.75" customHeight="1">
      <c r="D159" s="217"/>
      <c r="E159" s="217"/>
      <c r="F159" s="217"/>
      <c r="G159" s="217"/>
      <c r="H159" s="217"/>
    </row>
    <row r="160" ht="12.75" customHeight="1">
      <c r="D160" s="217"/>
      <c r="E160" s="217"/>
      <c r="F160" s="217"/>
      <c r="G160" s="217"/>
      <c r="H160" s="217"/>
    </row>
    <row r="161" ht="12.75" customHeight="1">
      <c r="D161" s="217"/>
      <c r="E161" s="217"/>
      <c r="F161" s="217"/>
      <c r="G161" s="217"/>
      <c r="H161" s="217"/>
    </row>
    <row r="162" ht="12.75" customHeight="1">
      <c r="D162" s="217"/>
      <c r="E162" s="217"/>
      <c r="F162" s="217"/>
      <c r="G162" s="217"/>
      <c r="H162" s="217"/>
    </row>
    <row r="163" ht="12.75" customHeight="1">
      <c r="D163" s="217"/>
      <c r="E163" s="217"/>
      <c r="F163" s="217"/>
      <c r="G163" s="217"/>
      <c r="H163" s="217"/>
    </row>
    <row r="164" ht="12.75" customHeight="1">
      <c r="D164" s="217"/>
      <c r="E164" s="217"/>
      <c r="F164" s="217"/>
      <c r="G164" s="217"/>
      <c r="H164" s="217"/>
    </row>
    <row r="165" ht="12.75" customHeight="1">
      <c r="D165" s="217"/>
      <c r="E165" s="217"/>
      <c r="F165" s="217"/>
      <c r="G165" s="217"/>
      <c r="H165" s="217"/>
    </row>
    <row r="166" ht="12.75" customHeight="1">
      <c r="D166" s="217"/>
      <c r="E166" s="217"/>
      <c r="F166" s="217"/>
      <c r="G166" s="217"/>
      <c r="H166" s="217"/>
    </row>
    <row r="167" ht="12.75" customHeight="1">
      <c r="D167" s="217"/>
      <c r="E167" s="217"/>
      <c r="F167" s="217"/>
      <c r="G167" s="217"/>
      <c r="H167" s="217"/>
    </row>
    <row r="168" ht="12.75" customHeight="1">
      <c r="D168" s="217"/>
      <c r="E168" s="217"/>
      <c r="F168" s="217"/>
      <c r="G168" s="217"/>
      <c r="H168" s="217"/>
    </row>
    <row r="169" ht="12.75" customHeight="1">
      <c r="D169" s="217"/>
      <c r="E169" s="217"/>
      <c r="F169" s="217"/>
      <c r="G169" s="217"/>
      <c r="H169" s="217"/>
    </row>
    <row r="170" ht="12.75" customHeight="1">
      <c r="D170" s="217"/>
      <c r="E170" s="217"/>
      <c r="F170" s="217"/>
      <c r="G170" s="217"/>
      <c r="H170" s="217"/>
    </row>
    <row r="171" ht="12.75" customHeight="1">
      <c r="D171" s="217"/>
      <c r="E171" s="217"/>
      <c r="F171" s="217"/>
      <c r="G171" s="217"/>
      <c r="H171" s="217"/>
    </row>
    <row r="172" ht="12.75" customHeight="1">
      <c r="D172" s="217"/>
      <c r="E172" s="217"/>
      <c r="F172" s="217"/>
      <c r="G172" s="217"/>
      <c r="H172" s="217"/>
    </row>
    <row r="173" ht="12.75" customHeight="1">
      <c r="D173" s="217"/>
      <c r="E173" s="217"/>
      <c r="F173" s="217"/>
      <c r="G173" s="217"/>
      <c r="H173" s="217"/>
    </row>
    <row r="174" ht="12.75" customHeight="1">
      <c r="D174" s="217"/>
      <c r="E174" s="217"/>
      <c r="F174" s="217"/>
      <c r="G174" s="217"/>
      <c r="H174" s="217"/>
    </row>
    <row r="175" ht="12.75" customHeight="1">
      <c r="D175" s="217"/>
      <c r="E175" s="217"/>
      <c r="F175" s="217"/>
      <c r="G175" s="217"/>
      <c r="H175" s="217"/>
    </row>
    <row r="176" ht="12.75" customHeight="1">
      <c r="D176" s="217"/>
      <c r="E176" s="217"/>
      <c r="F176" s="217"/>
      <c r="G176" s="217"/>
      <c r="H176" s="217"/>
    </row>
    <row r="177" ht="12.75" customHeight="1">
      <c r="D177" s="217"/>
      <c r="E177" s="217"/>
      <c r="F177" s="217"/>
      <c r="G177" s="217"/>
      <c r="H177" s="217"/>
    </row>
    <row r="178" ht="12.75" customHeight="1">
      <c r="D178" s="217"/>
      <c r="E178" s="217"/>
      <c r="F178" s="217"/>
      <c r="G178" s="217"/>
      <c r="H178" s="217"/>
    </row>
    <row r="179" ht="12.75" customHeight="1">
      <c r="D179" s="217"/>
      <c r="E179" s="217"/>
      <c r="F179" s="217"/>
      <c r="G179" s="217"/>
      <c r="H179" s="217"/>
    </row>
    <row r="180" ht="12.75" customHeight="1">
      <c r="D180" s="217"/>
      <c r="E180" s="217"/>
      <c r="F180" s="217"/>
      <c r="G180" s="217"/>
      <c r="H180" s="217"/>
    </row>
    <row r="181" ht="12.75" customHeight="1">
      <c r="D181" s="217"/>
      <c r="E181" s="217"/>
      <c r="F181" s="217"/>
      <c r="G181" s="217"/>
      <c r="H181" s="217"/>
    </row>
    <row r="182" ht="12.75" customHeight="1">
      <c r="D182" s="217"/>
      <c r="E182" s="217"/>
      <c r="F182" s="217"/>
      <c r="G182" s="217"/>
      <c r="H182" s="217"/>
    </row>
    <row r="183" ht="12.75" customHeight="1">
      <c r="D183" s="217"/>
      <c r="E183" s="217"/>
      <c r="F183" s="217"/>
      <c r="G183" s="217"/>
      <c r="H183" s="217"/>
    </row>
    <row r="184" ht="12.75" customHeight="1">
      <c r="D184" s="217"/>
      <c r="E184" s="217"/>
      <c r="F184" s="217"/>
      <c r="G184" s="217"/>
      <c r="H184" s="217"/>
    </row>
    <row r="185" ht="12.75" customHeight="1">
      <c r="D185" s="217"/>
      <c r="E185" s="217"/>
      <c r="F185" s="217"/>
      <c r="G185" s="217"/>
      <c r="H185" s="217"/>
    </row>
    <row r="186" ht="12.75" customHeight="1">
      <c r="D186" s="217"/>
      <c r="E186" s="217"/>
      <c r="F186" s="217"/>
      <c r="G186" s="217"/>
      <c r="H186" s="217"/>
    </row>
    <row r="187" ht="12.75" customHeight="1">
      <c r="D187" s="217"/>
      <c r="E187" s="217"/>
      <c r="F187" s="217"/>
      <c r="G187" s="217"/>
      <c r="H187" s="217"/>
    </row>
    <row r="188" ht="12.75" customHeight="1">
      <c r="D188" s="217"/>
      <c r="E188" s="217"/>
      <c r="F188" s="217"/>
      <c r="G188" s="217"/>
      <c r="H188" s="217"/>
    </row>
    <row r="189" ht="12.75" customHeight="1">
      <c r="D189" s="217"/>
      <c r="E189" s="217"/>
      <c r="F189" s="217"/>
      <c r="G189" s="217"/>
      <c r="H189" s="217"/>
    </row>
    <row r="190" ht="12.75" customHeight="1">
      <c r="D190" s="217"/>
      <c r="E190" s="217"/>
      <c r="F190" s="217"/>
      <c r="G190" s="217"/>
      <c r="H190" s="217"/>
    </row>
    <row r="191" ht="12.75" customHeight="1">
      <c r="D191" s="217"/>
      <c r="E191" s="217"/>
      <c r="F191" s="217"/>
      <c r="G191" s="217"/>
      <c r="H191" s="217"/>
    </row>
    <row r="192" ht="12.75" customHeight="1">
      <c r="D192" s="217"/>
      <c r="E192" s="217"/>
      <c r="F192" s="217"/>
      <c r="G192" s="217"/>
      <c r="H192" s="217"/>
    </row>
    <row r="193" ht="12.75" customHeight="1">
      <c r="D193" s="217"/>
      <c r="E193" s="217"/>
      <c r="F193" s="217"/>
      <c r="G193" s="217"/>
      <c r="H193" s="217"/>
    </row>
    <row r="194" ht="12.75" customHeight="1">
      <c r="D194" s="217"/>
      <c r="E194" s="217"/>
      <c r="F194" s="217"/>
      <c r="G194" s="217"/>
      <c r="H194" s="217"/>
    </row>
    <row r="195" ht="12.75" customHeight="1">
      <c r="D195" s="217"/>
      <c r="E195" s="217"/>
      <c r="F195" s="217"/>
      <c r="G195" s="217"/>
      <c r="H195" s="217"/>
    </row>
    <row r="196" ht="12.75" customHeight="1">
      <c r="D196" s="217"/>
      <c r="E196" s="217"/>
      <c r="F196" s="217"/>
      <c r="G196" s="217"/>
      <c r="H196" s="217"/>
    </row>
    <row r="197" ht="12.75" customHeight="1">
      <c r="D197" s="217"/>
      <c r="E197" s="217"/>
      <c r="F197" s="217"/>
      <c r="G197" s="217"/>
      <c r="H197" s="217"/>
    </row>
    <row r="198" ht="12.75" customHeight="1">
      <c r="D198" s="217"/>
      <c r="E198" s="217"/>
      <c r="F198" s="217"/>
      <c r="G198" s="217"/>
      <c r="H198" s="217"/>
    </row>
    <row r="199" ht="12.75" customHeight="1">
      <c r="D199" s="217"/>
      <c r="E199" s="217"/>
      <c r="F199" s="217"/>
      <c r="G199" s="217"/>
      <c r="H199" s="217"/>
    </row>
    <row r="200" ht="12.75" customHeight="1">
      <c r="D200" s="217"/>
      <c r="E200" s="217"/>
      <c r="F200" s="217"/>
      <c r="G200" s="217"/>
      <c r="H200" s="217"/>
    </row>
    <row r="201" ht="12.75" customHeight="1">
      <c r="D201" s="217"/>
      <c r="E201" s="217"/>
      <c r="F201" s="217"/>
      <c r="G201" s="217"/>
      <c r="H201" s="217"/>
    </row>
    <row r="202" ht="12.75" customHeight="1">
      <c r="D202" s="217"/>
      <c r="E202" s="217"/>
      <c r="F202" s="217"/>
      <c r="G202" s="217"/>
      <c r="H202" s="217"/>
    </row>
    <row r="203" ht="12.75" customHeight="1">
      <c r="D203" s="217"/>
      <c r="E203" s="217"/>
      <c r="F203" s="217"/>
      <c r="G203" s="217"/>
      <c r="H203" s="217"/>
    </row>
    <row r="204" ht="12.75" customHeight="1">
      <c r="D204" s="217"/>
      <c r="E204" s="217"/>
      <c r="F204" s="217"/>
      <c r="G204" s="217"/>
      <c r="H204" s="217"/>
    </row>
    <row r="205" ht="12.75" customHeight="1">
      <c r="D205" s="217"/>
      <c r="E205" s="217"/>
      <c r="F205" s="217"/>
      <c r="G205" s="217"/>
      <c r="H205" s="217"/>
    </row>
    <row r="206" ht="12.75" customHeight="1">
      <c r="D206" s="217"/>
      <c r="E206" s="217"/>
      <c r="F206" s="217"/>
      <c r="G206" s="217"/>
      <c r="H206" s="217"/>
    </row>
    <row r="207" ht="12.75" customHeight="1">
      <c r="D207" s="217"/>
      <c r="E207" s="217"/>
      <c r="F207" s="217"/>
      <c r="G207" s="217"/>
      <c r="H207" s="217"/>
    </row>
    <row r="208" ht="12.75" customHeight="1">
      <c r="D208" s="217"/>
      <c r="E208" s="217"/>
      <c r="F208" s="217"/>
      <c r="G208" s="217"/>
      <c r="H208" s="217"/>
    </row>
    <row r="209" ht="12.75" customHeight="1">
      <c r="D209" s="217"/>
      <c r="E209" s="217"/>
      <c r="F209" s="217"/>
      <c r="G209" s="217"/>
      <c r="H209" s="217"/>
    </row>
    <row r="210" ht="12.75" customHeight="1">
      <c r="D210" s="217"/>
      <c r="E210" s="217"/>
      <c r="F210" s="217"/>
      <c r="G210" s="217"/>
      <c r="H210" s="217"/>
    </row>
    <row r="211" ht="12.75" customHeight="1">
      <c r="D211" s="217"/>
      <c r="E211" s="217"/>
      <c r="F211" s="217"/>
      <c r="G211" s="217"/>
      <c r="H211" s="217"/>
    </row>
    <row r="212" ht="12.75" customHeight="1">
      <c r="D212" s="217"/>
      <c r="E212" s="217"/>
      <c r="F212" s="217"/>
      <c r="G212" s="217"/>
      <c r="H212" s="217"/>
    </row>
    <row r="213" ht="12.75" customHeight="1">
      <c r="D213" s="217"/>
      <c r="E213" s="217"/>
      <c r="F213" s="217"/>
      <c r="G213" s="217"/>
      <c r="H213" s="217"/>
    </row>
    <row r="214" ht="12.75" customHeight="1">
      <c r="D214" s="217"/>
      <c r="E214" s="217"/>
      <c r="F214" s="217"/>
      <c r="G214" s="217"/>
      <c r="H214" s="217"/>
    </row>
    <row r="215" ht="12.75" customHeight="1">
      <c r="D215" s="217"/>
      <c r="E215" s="217"/>
      <c r="F215" s="217"/>
      <c r="G215" s="217"/>
      <c r="H215" s="217"/>
    </row>
    <row r="216" ht="12.75" customHeight="1">
      <c r="D216" s="217"/>
      <c r="E216" s="217"/>
      <c r="F216" s="217"/>
      <c r="G216" s="217"/>
      <c r="H216" s="217"/>
    </row>
    <row r="217" ht="12.75" customHeight="1">
      <c r="D217" s="217"/>
      <c r="E217" s="217"/>
      <c r="F217" s="217"/>
      <c r="G217" s="217"/>
      <c r="H217" s="217"/>
    </row>
    <row r="218" ht="12.75" customHeight="1">
      <c r="D218" s="217"/>
      <c r="E218" s="217"/>
      <c r="F218" s="217"/>
      <c r="G218" s="217"/>
      <c r="H218" s="217"/>
    </row>
    <row r="219" ht="12.75" customHeight="1">
      <c r="D219" s="217"/>
      <c r="E219" s="217"/>
      <c r="F219" s="217"/>
      <c r="G219" s="217"/>
      <c r="H219" s="217"/>
    </row>
    <row r="220" ht="12.75" customHeight="1">
      <c r="D220" s="217"/>
      <c r="E220" s="217"/>
      <c r="F220" s="217"/>
      <c r="G220" s="217"/>
      <c r="H220" s="217"/>
    </row>
    <row r="221" ht="12.75" customHeight="1">
      <c r="D221" s="217"/>
      <c r="E221" s="217"/>
      <c r="F221" s="217"/>
      <c r="G221" s="217"/>
      <c r="H221" s="217"/>
    </row>
    <row r="222" ht="12.75" customHeight="1">
      <c r="D222" s="217"/>
      <c r="E222" s="217"/>
      <c r="F222" s="217"/>
      <c r="G222" s="217"/>
      <c r="H222" s="217"/>
    </row>
    <row r="223" ht="12.75" customHeight="1">
      <c r="D223" s="217"/>
      <c r="E223" s="217"/>
      <c r="F223" s="217"/>
      <c r="G223" s="217"/>
      <c r="H223" s="217"/>
    </row>
    <row r="224" ht="12.75" customHeight="1">
      <c r="D224" s="217"/>
      <c r="E224" s="217"/>
      <c r="F224" s="217"/>
      <c r="G224" s="217"/>
      <c r="H224" s="217"/>
    </row>
    <row r="225" ht="12.75" customHeight="1">
      <c r="D225" s="217"/>
      <c r="E225" s="217"/>
      <c r="F225" s="217"/>
      <c r="G225" s="217"/>
      <c r="H225" s="217"/>
    </row>
    <row r="226" ht="12.75" customHeight="1">
      <c r="D226" s="217"/>
      <c r="E226" s="217"/>
      <c r="F226" s="217"/>
      <c r="G226" s="217"/>
      <c r="H226" s="217"/>
    </row>
    <row r="227" ht="12.75" customHeight="1">
      <c r="D227" s="217"/>
      <c r="E227" s="217"/>
      <c r="F227" s="217"/>
      <c r="G227" s="217"/>
      <c r="H227" s="217"/>
    </row>
    <row r="228" ht="12.75" customHeight="1">
      <c r="D228" s="217"/>
      <c r="E228" s="217"/>
      <c r="F228" s="217"/>
      <c r="G228" s="217"/>
      <c r="H228" s="217"/>
    </row>
    <row r="229" ht="12.75" customHeight="1">
      <c r="D229" s="217"/>
      <c r="E229" s="217"/>
      <c r="F229" s="217"/>
      <c r="G229" s="217"/>
      <c r="H229" s="217"/>
    </row>
    <row r="230" ht="12.75" customHeight="1">
      <c r="D230" s="217"/>
      <c r="E230" s="217"/>
      <c r="F230" s="217"/>
      <c r="G230" s="217"/>
      <c r="H230" s="217"/>
    </row>
    <row r="231" ht="12.75" customHeight="1">
      <c r="D231" s="217"/>
      <c r="E231" s="217"/>
      <c r="F231" s="217"/>
      <c r="G231" s="217"/>
      <c r="H231" s="217"/>
    </row>
    <row r="232" ht="12.75" customHeight="1">
      <c r="D232" s="217"/>
      <c r="E232" s="217"/>
      <c r="F232" s="217"/>
      <c r="G232" s="217"/>
      <c r="H232" s="217"/>
    </row>
    <row r="233" ht="12.75" customHeight="1">
      <c r="D233" s="217"/>
      <c r="E233" s="217"/>
      <c r="F233" s="217"/>
      <c r="G233" s="217"/>
      <c r="H233" s="217"/>
    </row>
    <row r="234" ht="12.75" customHeight="1">
      <c r="D234" s="217"/>
      <c r="E234" s="217"/>
      <c r="F234" s="217"/>
      <c r="G234" s="217"/>
      <c r="H234" s="217"/>
    </row>
    <row r="235" ht="12.75" customHeight="1">
      <c r="D235" s="217"/>
      <c r="E235" s="217"/>
      <c r="F235" s="217"/>
      <c r="G235" s="217"/>
      <c r="H235" s="217"/>
    </row>
    <row r="236" ht="12.75" customHeight="1">
      <c r="D236" s="217"/>
      <c r="E236" s="217"/>
      <c r="F236" s="217"/>
      <c r="G236" s="217"/>
      <c r="H236" s="217"/>
    </row>
    <row r="237" ht="12.75" customHeight="1">
      <c r="D237" s="217"/>
      <c r="E237" s="217"/>
      <c r="F237" s="217"/>
      <c r="G237" s="217"/>
      <c r="H237" s="217"/>
    </row>
    <row r="238" ht="12.75" customHeight="1">
      <c r="D238" s="217"/>
      <c r="E238" s="217"/>
      <c r="F238" s="217"/>
      <c r="G238" s="217"/>
      <c r="H238" s="217"/>
    </row>
    <row r="239" ht="12.75" customHeight="1">
      <c r="D239" s="217"/>
      <c r="E239" s="217"/>
      <c r="F239" s="217"/>
      <c r="G239" s="217"/>
      <c r="H239" s="217"/>
    </row>
    <row r="240" ht="12.75" customHeight="1">
      <c r="D240" s="217"/>
      <c r="E240" s="217"/>
      <c r="F240" s="217"/>
      <c r="G240" s="217"/>
      <c r="H240" s="217"/>
    </row>
    <row r="241" ht="12.75" customHeight="1">
      <c r="D241" s="217"/>
      <c r="E241" s="217"/>
      <c r="F241" s="217"/>
      <c r="G241" s="217"/>
      <c r="H241" s="217"/>
    </row>
    <row r="242" ht="12.75" customHeight="1">
      <c r="D242" s="217"/>
      <c r="E242" s="217"/>
      <c r="F242" s="217"/>
      <c r="G242" s="217"/>
      <c r="H242" s="217"/>
    </row>
    <row r="243" ht="12.75" customHeight="1">
      <c r="D243" s="217"/>
      <c r="E243" s="217"/>
      <c r="F243" s="217"/>
      <c r="G243" s="217"/>
      <c r="H243" s="217"/>
    </row>
    <row r="244" ht="12.75" customHeight="1">
      <c r="D244" s="217"/>
      <c r="E244" s="217"/>
      <c r="F244" s="217"/>
      <c r="G244" s="217"/>
      <c r="H244" s="217"/>
    </row>
    <row r="245" ht="12.75" customHeight="1">
      <c r="D245" s="217"/>
      <c r="E245" s="217"/>
      <c r="F245" s="217"/>
      <c r="G245" s="217"/>
      <c r="H245" s="217"/>
    </row>
    <row r="246" ht="12.75" customHeight="1">
      <c r="D246" s="217"/>
      <c r="E246" s="217"/>
      <c r="F246" s="217"/>
      <c r="G246" s="217"/>
      <c r="H246" s="217"/>
    </row>
    <row r="247" ht="12.75" customHeight="1">
      <c r="D247" s="217"/>
      <c r="E247" s="217"/>
      <c r="F247" s="217"/>
      <c r="G247" s="217"/>
      <c r="H247" s="217"/>
    </row>
    <row r="248" ht="12.75" customHeight="1">
      <c r="D248" s="217"/>
      <c r="E248" s="217"/>
      <c r="F248" s="217"/>
      <c r="G248" s="217"/>
      <c r="H248" s="217"/>
    </row>
    <row r="249" ht="12.75" customHeight="1">
      <c r="D249" s="217"/>
      <c r="E249" s="217"/>
      <c r="F249" s="217"/>
      <c r="G249" s="217"/>
      <c r="H249" s="217"/>
    </row>
    <row r="250" ht="12.75" customHeight="1">
      <c r="D250" s="217"/>
      <c r="E250" s="217"/>
      <c r="F250" s="217"/>
      <c r="G250" s="217"/>
      <c r="H250" s="217"/>
    </row>
    <row r="251" ht="12.75" customHeight="1">
      <c r="D251" s="217"/>
      <c r="E251" s="217"/>
      <c r="F251" s="217"/>
      <c r="G251" s="217"/>
      <c r="H251" s="217"/>
    </row>
    <row r="252" ht="12.75" customHeight="1">
      <c r="D252" s="217"/>
      <c r="E252" s="217"/>
      <c r="F252" s="217"/>
      <c r="G252" s="217"/>
      <c r="H252" s="217"/>
    </row>
    <row r="253" ht="12.75" customHeight="1">
      <c r="D253" s="217"/>
      <c r="E253" s="217"/>
      <c r="F253" s="217"/>
      <c r="G253" s="217"/>
      <c r="H253" s="217"/>
    </row>
    <row r="254" ht="12.75" customHeight="1">
      <c r="D254" s="217"/>
      <c r="E254" s="217"/>
      <c r="F254" s="217"/>
      <c r="G254" s="217"/>
      <c r="H254" s="217"/>
    </row>
    <row r="255" ht="12.75" customHeight="1">
      <c r="D255" s="217"/>
      <c r="E255" s="217"/>
      <c r="F255" s="217"/>
      <c r="G255" s="217"/>
      <c r="H255" s="217"/>
    </row>
    <row r="256" ht="12.75" customHeight="1">
      <c r="D256" s="217"/>
      <c r="E256" s="217"/>
      <c r="F256" s="217"/>
      <c r="G256" s="217"/>
      <c r="H256" s="217"/>
    </row>
    <row r="257" ht="12.75" customHeight="1">
      <c r="D257" s="217"/>
      <c r="E257" s="217"/>
      <c r="F257" s="217"/>
      <c r="G257" s="217"/>
      <c r="H257" s="217"/>
    </row>
    <row r="258" ht="12.75" customHeight="1">
      <c r="D258" s="217"/>
      <c r="E258" s="217"/>
      <c r="F258" s="217"/>
      <c r="G258" s="217"/>
      <c r="H258" s="217"/>
    </row>
    <row r="259" ht="12.75" customHeight="1">
      <c r="D259" s="217"/>
      <c r="E259" s="217"/>
      <c r="F259" s="217"/>
      <c r="G259" s="217"/>
      <c r="H259" s="217"/>
    </row>
    <row r="260" ht="12.75" customHeight="1">
      <c r="D260" s="217"/>
      <c r="E260" s="217"/>
      <c r="F260" s="217"/>
      <c r="G260" s="217"/>
      <c r="H260" s="217"/>
    </row>
    <row r="261" ht="12.75" customHeight="1">
      <c r="D261" s="217"/>
      <c r="E261" s="217"/>
      <c r="F261" s="217"/>
      <c r="G261" s="217"/>
      <c r="H261" s="217"/>
    </row>
    <row r="262" ht="12.75" customHeight="1">
      <c r="D262" s="217"/>
      <c r="E262" s="217"/>
      <c r="F262" s="217"/>
      <c r="G262" s="217"/>
      <c r="H262" s="217"/>
    </row>
    <row r="263" ht="12.75" customHeight="1">
      <c r="D263" s="217"/>
      <c r="E263" s="217"/>
      <c r="F263" s="217"/>
      <c r="G263" s="217"/>
      <c r="H263" s="217"/>
    </row>
    <row r="264" ht="12.75" customHeight="1">
      <c r="D264" s="217"/>
      <c r="E264" s="217"/>
      <c r="F264" s="217"/>
      <c r="G264" s="217"/>
      <c r="H264" s="217"/>
    </row>
    <row r="265" ht="12.75" customHeight="1">
      <c r="D265" s="217"/>
      <c r="E265" s="217"/>
      <c r="F265" s="217"/>
      <c r="G265" s="217"/>
      <c r="H265" s="217"/>
    </row>
    <row r="266" ht="12.75" customHeight="1">
      <c r="D266" s="217"/>
      <c r="E266" s="217"/>
      <c r="F266" s="217"/>
      <c r="G266" s="217"/>
      <c r="H266" s="217"/>
    </row>
    <row r="267" ht="12.75" customHeight="1">
      <c r="D267" s="217"/>
      <c r="E267" s="217"/>
      <c r="F267" s="217"/>
      <c r="G267" s="217"/>
      <c r="H267" s="217"/>
    </row>
    <row r="268" ht="12.75" customHeight="1">
      <c r="D268" s="217"/>
      <c r="E268" s="217"/>
      <c r="F268" s="217"/>
      <c r="G268" s="217"/>
      <c r="H268" s="217"/>
    </row>
    <row r="269" ht="12.75" customHeight="1">
      <c r="D269" s="217"/>
      <c r="E269" s="217"/>
      <c r="F269" s="217"/>
      <c r="G269" s="217"/>
      <c r="H269" s="217"/>
    </row>
    <row r="270" ht="12.75" customHeight="1">
      <c r="D270" s="217"/>
      <c r="E270" s="217"/>
      <c r="F270" s="217"/>
      <c r="G270" s="217"/>
      <c r="H270" s="217"/>
    </row>
    <row r="271" ht="12.75" customHeight="1">
      <c r="D271" s="217"/>
      <c r="E271" s="217"/>
      <c r="F271" s="217"/>
      <c r="G271" s="217"/>
      <c r="H271" s="217"/>
    </row>
    <row r="272" ht="12.75" customHeight="1">
      <c r="D272" s="217"/>
      <c r="E272" s="217"/>
      <c r="F272" s="217"/>
      <c r="G272" s="217"/>
      <c r="H272" s="217"/>
    </row>
    <row r="273" ht="12.75" customHeight="1">
      <c r="D273" s="217"/>
      <c r="E273" s="217"/>
      <c r="F273" s="217"/>
      <c r="G273" s="217"/>
      <c r="H273" s="217"/>
    </row>
    <row r="274" ht="12.75" customHeight="1">
      <c r="D274" s="217"/>
      <c r="E274" s="217"/>
      <c r="F274" s="217"/>
      <c r="G274" s="217"/>
      <c r="H274" s="217"/>
    </row>
    <row r="275" ht="12.75" customHeight="1">
      <c r="D275" s="217"/>
      <c r="E275" s="217"/>
      <c r="F275" s="217"/>
      <c r="G275" s="217"/>
      <c r="H275" s="217"/>
    </row>
    <row r="276" ht="12.75" customHeight="1">
      <c r="D276" s="217"/>
      <c r="E276" s="217"/>
      <c r="F276" s="217"/>
      <c r="G276" s="217"/>
      <c r="H276" s="217"/>
    </row>
    <row r="277" ht="12.75" customHeight="1">
      <c r="D277" s="217"/>
      <c r="E277" s="217"/>
      <c r="F277" s="217"/>
      <c r="G277" s="217"/>
      <c r="H277" s="217"/>
    </row>
    <row r="278" ht="12.75" customHeight="1">
      <c r="D278" s="217"/>
      <c r="E278" s="217"/>
      <c r="F278" s="217"/>
      <c r="G278" s="217"/>
      <c r="H278" s="217"/>
    </row>
    <row r="279" ht="12.75" customHeight="1">
      <c r="D279" s="217"/>
      <c r="E279" s="217"/>
      <c r="F279" s="217"/>
      <c r="G279" s="217"/>
      <c r="H279" s="217"/>
    </row>
    <row r="280" ht="12.75" customHeight="1">
      <c r="D280" s="217"/>
      <c r="E280" s="217"/>
      <c r="F280" s="217"/>
      <c r="G280" s="217"/>
      <c r="H280" s="217"/>
    </row>
    <row r="281" ht="12.75" customHeight="1">
      <c r="D281" s="217"/>
      <c r="E281" s="217"/>
      <c r="F281" s="217"/>
      <c r="G281" s="217"/>
      <c r="H281" s="217"/>
    </row>
    <row r="282" ht="12.75" customHeight="1">
      <c r="D282" s="217"/>
      <c r="E282" s="217"/>
      <c r="F282" s="217"/>
      <c r="G282" s="217"/>
      <c r="H282" s="217"/>
    </row>
    <row r="283" ht="12.75" customHeight="1">
      <c r="D283" s="217"/>
      <c r="E283" s="217"/>
      <c r="F283" s="217"/>
      <c r="G283" s="217"/>
      <c r="H283" s="217"/>
    </row>
    <row r="284" ht="12.75" customHeight="1">
      <c r="D284" s="217"/>
      <c r="E284" s="217"/>
      <c r="F284" s="217"/>
      <c r="G284" s="217"/>
      <c r="H284" s="217"/>
    </row>
    <row r="285" ht="12.75" customHeight="1">
      <c r="D285" s="217"/>
      <c r="E285" s="217"/>
      <c r="F285" s="217"/>
      <c r="G285" s="217"/>
      <c r="H285" s="217"/>
    </row>
    <row r="286" ht="12.75" customHeight="1">
      <c r="D286" s="217"/>
      <c r="E286" s="217"/>
      <c r="F286" s="217"/>
      <c r="G286" s="217"/>
      <c r="H286" s="217"/>
    </row>
    <row r="287" ht="12.75" customHeight="1">
      <c r="D287" s="217"/>
      <c r="E287" s="217"/>
      <c r="F287" s="217"/>
      <c r="G287" s="217"/>
      <c r="H287" s="217"/>
    </row>
    <row r="288" ht="12.75" customHeight="1">
      <c r="D288" s="217"/>
      <c r="E288" s="217"/>
      <c r="F288" s="217"/>
      <c r="G288" s="217"/>
      <c r="H288" s="217"/>
    </row>
    <row r="289" ht="12.75" customHeight="1">
      <c r="D289" s="217"/>
      <c r="E289" s="217"/>
      <c r="F289" s="217"/>
      <c r="G289" s="217"/>
      <c r="H289" s="217"/>
    </row>
    <row r="290" ht="12.75" customHeight="1">
      <c r="D290" s="217"/>
      <c r="E290" s="217"/>
      <c r="F290" s="217"/>
      <c r="G290" s="217"/>
      <c r="H290" s="217"/>
    </row>
    <row r="291" ht="12.75" customHeight="1">
      <c r="D291" s="217"/>
      <c r="E291" s="217"/>
      <c r="F291" s="217"/>
      <c r="G291" s="217"/>
      <c r="H291" s="217"/>
    </row>
    <row r="292" ht="12.75" customHeight="1">
      <c r="D292" s="217"/>
      <c r="E292" s="217"/>
      <c r="F292" s="217"/>
      <c r="G292" s="217"/>
      <c r="H292" s="217"/>
    </row>
    <row r="293" ht="12.75" customHeight="1">
      <c r="D293" s="217"/>
      <c r="E293" s="217"/>
      <c r="F293" s="217"/>
      <c r="G293" s="217"/>
      <c r="H293" s="217"/>
    </row>
    <row r="294" ht="12.75" customHeight="1">
      <c r="D294" s="217"/>
      <c r="E294" s="217"/>
      <c r="F294" s="217"/>
      <c r="G294" s="217"/>
      <c r="H294" s="217"/>
    </row>
    <row r="295" ht="12.75" customHeight="1">
      <c r="D295" s="217"/>
      <c r="E295" s="217"/>
      <c r="F295" s="217"/>
      <c r="G295" s="217"/>
      <c r="H295" s="217"/>
    </row>
    <row r="296" ht="12.75" customHeight="1">
      <c r="D296" s="217"/>
      <c r="E296" s="217"/>
      <c r="F296" s="217"/>
      <c r="G296" s="217"/>
      <c r="H296" s="217"/>
    </row>
    <row r="297" ht="12.75" customHeight="1">
      <c r="D297" s="217"/>
      <c r="E297" s="217"/>
      <c r="F297" s="217"/>
      <c r="G297" s="217"/>
      <c r="H297" s="217"/>
    </row>
    <row r="298" ht="12.75" customHeight="1">
      <c r="D298" s="217"/>
      <c r="E298" s="217"/>
      <c r="F298" s="217"/>
      <c r="G298" s="217"/>
      <c r="H298" s="217"/>
    </row>
    <row r="299" ht="12.75" customHeight="1">
      <c r="D299" s="217"/>
      <c r="E299" s="217"/>
      <c r="F299" s="217"/>
      <c r="G299" s="217"/>
      <c r="H299" s="217"/>
    </row>
    <row r="300" ht="12.75" customHeight="1">
      <c r="D300" s="217"/>
      <c r="E300" s="217"/>
      <c r="F300" s="217"/>
      <c r="G300" s="217"/>
      <c r="H300" s="217"/>
    </row>
    <row r="301" ht="12.75" customHeight="1">
      <c r="D301" s="217"/>
      <c r="E301" s="217"/>
      <c r="F301" s="217"/>
      <c r="G301" s="217"/>
      <c r="H301" s="217"/>
    </row>
    <row r="302" ht="12.75" customHeight="1">
      <c r="D302" s="217"/>
      <c r="E302" s="217"/>
      <c r="F302" s="217"/>
      <c r="G302" s="217"/>
      <c r="H302" s="217"/>
    </row>
    <row r="303" ht="12.75" customHeight="1">
      <c r="D303" s="217"/>
      <c r="E303" s="217"/>
      <c r="F303" s="217"/>
      <c r="G303" s="217"/>
      <c r="H303" s="217"/>
    </row>
    <row r="304" ht="12.75" customHeight="1">
      <c r="D304" s="217"/>
      <c r="E304" s="217"/>
      <c r="F304" s="217"/>
      <c r="G304" s="217"/>
      <c r="H304" s="217"/>
    </row>
    <row r="305" ht="12.75" customHeight="1">
      <c r="D305" s="217"/>
      <c r="E305" s="217"/>
      <c r="F305" s="217"/>
      <c r="G305" s="217"/>
      <c r="H305" s="217"/>
    </row>
    <row r="306" ht="12.75" customHeight="1">
      <c r="D306" s="217"/>
      <c r="E306" s="217"/>
      <c r="F306" s="217"/>
      <c r="G306" s="217"/>
      <c r="H306" s="217"/>
    </row>
    <row r="307" ht="12.75" customHeight="1">
      <c r="D307" s="217"/>
      <c r="E307" s="217"/>
      <c r="F307" s="217"/>
      <c r="G307" s="217"/>
      <c r="H307" s="217"/>
    </row>
    <row r="308" ht="12.75" customHeight="1">
      <c r="D308" s="217"/>
      <c r="E308" s="217"/>
      <c r="F308" s="217"/>
      <c r="G308" s="217"/>
      <c r="H308" s="217"/>
    </row>
    <row r="309" ht="12.75" customHeight="1">
      <c r="D309" s="217"/>
      <c r="E309" s="217"/>
      <c r="F309" s="217"/>
      <c r="G309" s="217"/>
      <c r="H309" s="217"/>
    </row>
    <row r="310" ht="12.75" customHeight="1">
      <c r="D310" s="217"/>
      <c r="E310" s="217"/>
      <c r="F310" s="217"/>
      <c r="G310" s="217"/>
      <c r="H310" s="217"/>
    </row>
    <row r="311" ht="12.75" customHeight="1">
      <c r="D311" s="217"/>
      <c r="E311" s="217"/>
      <c r="F311" s="217"/>
      <c r="G311" s="217"/>
      <c r="H311" s="217"/>
    </row>
    <row r="312" ht="12.75" customHeight="1">
      <c r="D312" s="217"/>
      <c r="E312" s="217"/>
      <c r="F312" s="217"/>
      <c r="G312" s="217"/>
      <c r="H312" s="217"/>
    </row>
    <row r="313" ht="12.75" customHeight="1">
      <c r="D313" s="217"/>
      <c r="E313" s="217"/>
      <c r="F313" s="217"/>
      <c r="G313" s="217"/>
      <c r="H313" s="217"/>
    </row>
    <row r="314" ht="12.75" customHeight="1">
      <c r="D314" s="217"/>
      <c r="E314" s="217"/>
      <c r="F314" s="217"/>
      <c r="G314" s="217"/>
      <c r="H314" s="217"/>
    </row>
    <row r="315" ht="12.75" customHeight="1">
      <c r="D315" s="217"/>
      <c r="E315" s="217"/>
      <c r="F315" s="217"/>
      <c r="G315" s="217"/>
      <c r="H315" s="217"/>
    </row>
    <row r="316" ht="12.75" customHeight="1">
      <c r="D316" s="217"/>
      <c r="E316" s="217"/>
      <c r="F316" s="217"/>
      <c r="G316" s="217"/>
      <c r="H316" s="217"/>
    </row>
    <row r="317" ht="12.75" customHeight="1">
      <c r="D317" s="217"/>
      <c r="E317" s="217"/>
      <c r="F317" s="217"/>
      <c r="G317" s="217"/>
      <c r="H317" s="217"/>
    </row>
    <row r="318" ht="12.75" customHeight="1">
      <c r="D318" s="217"/>
      <c r="E318" s="217"/>
      <c r="F318" s="217"/>
      <c r="G318" s="217"/>
      <c r="H318" s="217"/>
    </row>
    <row r="319" ht="12.75" customHeight="1">
      <c r="D319" s="217"/>
      <c r="E319" s="217"/>
      <c r="F319" s="217"/>
      <c r="G319" s="217"/>
      <c r="H319" s="217"/>
    </row>
    <row r="320" ht="12.75" customHeight="1">
      <c r="D320" s="217"/>
      <c r="E320" s="217"/>
      <c r="F320" s="217"/>
      <c r="G320" s="217"/>
      <c r="H320" s="217"/>
    </row>
    <row r="321" ht="12.75" customHeight="1">
      <c r="D321" s="217"/>
      <c r="E321" s="217"/>
      <c r="F321" s="217"/>
      <c r="G321" s="217"/>
      <c r="H321" s="217"/>
    </row>
    <row r="322" ht="12.75" customHeight="1">
      <c r="D322" s="217"/>
      <c r="E322" s="217"/>
      <c r="F322" s="217"/>
      <c r="G322" s="217"/>
      <c r="H322" s="217"/>
    </row>
    <row r="323" ht="12.75" customHeight="1">
      <c r="D323" s="217"/>
      <c r="E323" s="217"/>
      <c r="F323" s="217"/>
      <c r="G323" s="217"/>
      <c r="H323" s="217"/>
    </row>
    <row r="324" ht="12.75" customHeight="1">
      <c r="D324" s="217"/>
      <c r="E324" s="217"/>
      <c r="F324" s="217"/>
      <c r="G324" s="217"/>
      <c r="H324" s="217"/>
    </row>
    <row r="325" ht="12.75" customHeight="1">
      <c r="D325" s="217"/>
      <c r="E325" s="217"/>
      <c r="F325" s="217"/>
      <c r="G325" s="217"/>
      <c r="H325" s="217"/>
    </row>
    <row r="326" ht="12.75" customHeight="1">
      <c r="D326" s="217"/>
      <c r="E326" s="217"/>
      <c r="F326" s="217"/>
      <c r="G326" s="217"/>
      <c r="H326" s="217"/>
    </row>
    <row r="327" ht="12.75" customHeight="1">
      <c r="D327" s="217"/>
      <c r="E327" s="217"/>
      <c r="F327" s="217"/>
      <c r="G327" s="217"/>
      <c r="H327" s="217"/>
    </row>
    <row r="328" ht="12.75" customHeight="1">
      <c r="D328" s="217"/>
      <c r="E328" s="217"/>
      <c r="F328" s="217"/>
      <c r="G328" s="217"/>
      <c r="H328" s="217"/>
    </row>
    <row r="329" ht="12.75" customHeight="1">
      <c r="D329" s="217"/>
      <c r="E329" s="217"/>
      <c r="F329" s="217"/>
      <c r="G329" s="217"/>
      <c r="H329" s="217"/>
    </row>
    <row r="330" ht="12.75" customHeight="1">
      <c r="D330" s="217"/>
      <c r="E330" s="217"/>
      <c r="F330" s="217"/>
      <c r="G330" s="217"/>
      <c r="H330" s="217"/>
    </row>
    <row r="331" ht="12.75" customHeight="1">
      <c r="D331" s="217"/>
      <c r="E331" s="217"/>
      <c r="F331" s="217"/>
      <c r="G331" s="217"/>
      <c r="H331" s="217"/>
    </row>
    <row r="332" ht="12.75" customHeight="1">
      <c r="D332" s="217"/>
      <c r="E332" s="217"/>
      <c r="F332" s="217"/>
      <c r="G332" s="217"/>
      <c r="H332" s="217"/>
    </row>
    <row r="333" ht="12.75" customHeight="1">
      <c r="D333" s="217"/>
      <c r="E333" s="217"/>
      <c r="F333" s="217"/>
      <c r="G333" s="217"/>
      <c r="H333" s="217"/>
    </row>
    <row r="334" ht="12.75" customHeight="1">
      <c r="D334" s="217"/>
      <c r="E334" s="217"/>
      <c r="F334" s="217"/>
      <c r="G334" s="217"/>
      <c r="H334" s="217"/>
    </row>
    <row r="335" ht="12.75" customHeight="1">
      <c r="D335" s="217"/>
      <c r="E335" s="217"/>
      <c r="F335" s="217"/>
      <c r="G335" s="217"/>
      <c r="H335" s="217"/>
    </row>
    <row r="336" ht="12.75" customHeight="1">
      <c r="D336" s="217"/>
      <c r="E336" s="217"/>
      <c r="F336" s="217"/>
      <c r="G336" s="217"/>
      <c r="H336" s="217"/>
    </row>
    <row r="337" ht="12.75" customHeight="1">
      <c r="D337" s="217"/>
      <c r="E337" s="217"/>
      <c r="F337" s="217"/>
      <c r="G337" s="217"/>
      <c r="H337" s="217"/>
    </row>
    <row r="338" ht="12.75" customHeight="1">
      <c r="D338" s="217"/>
      <c r="E338" s="217"/>
      <c r="F338" s="217"/>
      <c r="G338" s="217"/>
      <c r="H338" s="217"/>
    </row>
    <row r="339" ht="12.75" customHeight="1">
      <c r="D339" s="217"/>
      <c r="E339" s="217"/>
      <c r="F339" s="217"/>
      <c r="G339" s="217"/>
      <c r="H339" s="217"/>
    </row>
    <row r="340" ht="12.75" customHeight="1">
      <c r="D340" s="217"/>
      <c r="E340" s="217"/>
      <c r="F340" s="217"/>
      <c r="G340" s="217"/>
      <c r="H340" s="217"/>
    </row>
    <row r="341" ht="12.75" customHeight="1">
      <c r="D341" s="217"/>
      <c r="E341" s="217"/>
      <c r="F341" s="217"/>
      <c r="G341" s="217"/>
      <c r="H341" s="217"/>
    </row>
    <row r="342" ht="12.75" customHeight="1">
      <c r="D342" s="217"/>
      <c r="E342" s="217"/>
      <c r="F342" s="217"/>
      <c r="G342" s="217"/>
      <c r="H342" s="217"/>
    </row>
    <row r="343" ht="12.75" customHeight="1">
      <c r="D343" s="217"/>
      <c r="E343" s="217"/>
      <c r="F343" s="217"/>
      <c r="G343" s="217"/>
      <c r="H343" s="217"/>
    </row>
    <row r="344" ht="12.75" customHeight="1">
      <c r="D344" s="217"/>
      <c r="E344" s="217"/>
      <c r="F344" s="217"/>
      <c r="G344" s="217"/>
      <c r="H344" s="217"/>
    </row>
    <row r="345" ht="12.75" customHeight="1">
      <c r="D345" s="217"/>
      <c r="E345" s="217"/>
      <c r="F345" s="217"/>
      <c r="G345" s="217"/>
      <c r="H345" s="217"/>
    </row>
    <row r="346" ht="12.75" customHeight="1">
      <c r="D346" s="217"/>
      <c r="E346" s="217"/>
      <c r="F346" s="217"/>
      <c r="G346" s="217"/>
      <c r="H346" s="217"/>
    </row>
    <row r="347" ht="12.75" customHeight="1">
      <c r="D347" s="217"/>
      <c r="E347" s="217"/>
      <c r="F347" s="217"/>
      <c r="G347" s="217"/>
      <c r="H347" s="217"/>
    </row>
    <row r="348" ht="12.75" customHeight="1">
      <c r="D348" s="217"/>
      <c r="E348" s="217"/>
      <c r="F348" s="217"/>
      <c r="G348" s="217"/>
      <c r="H348" s="217"/>
    </row>
    <row r="349" ht="12.75" customHeight="1">
      <c r="D349" s="217"/>
      <c r="E349" s="217"/>
      <c r="F349" s="217"/>
      <c r="G349" s="217"/>
      <c r="H349" s="217"/>
    </row>
    <row r="350" ht="12.75" customHeight="1">
      <c r="D350" s="217"/>
      <c r="E350" s="217"/>
      <c r="F350" s="217"/>
      <c r="G350" s="217"/>
      <c r="H350" s="217"/>
    </row>
    <row r="351" ht="12.75" customHeight="1">
      <c r="D351" s="217"/>
      <c r="E351" s="217"/>
      <c r="F351" s="217"/>
      <c r="G351" s="217"/>
      <c r="H351" s="217"/>
    </row>
    <row r="352" ht="12.75" customHeight="1">
      <c r="D352" s="217"/>
      <c r="E352" s="217"/>
      <c r="F352" s="217"/>
      <c r="G352" s="217"/>
      <c r="H352" s="217"/>
    </row>
    <row r="353" ht="12.75" customHeight="1">
      <c r="D353" s="217"/>
      <c r="E353" s="217"/>
      <c r="F353" s="217"/>
      <c r="G353" s="217"/>
      <c r="H353" s="217"/>
    </row>
    <row r="354" ht="12.75" customHeight="1">
      <c r="D354" s="217"/>
      <c r="E354" s="217"/>
      <c r="F354" s="217"/>
      <c r="G354" s="217"/>
      <c r="H354" s="217"/>
    </row>
    <row r="355" ht="12.75" customHeight="1">
      <c r="D355" s="217"/>
      <c r="E355" s="217"/>
      <c r="F355" s="217"/>
      <c r="G355" s="217"/>
      <c r="H355" s="217"/>
    </row>
    <row r="356" ht="12.75" customHeight="1">
      <c r="D356" s="217"/>
      <c r="E356" s="217"/>
      <c r="F356" s="217"/>
      <c r="G356" s="217"/>
      <c r="H356" s="217"/>
    </row>
    <row r="357" ht="12.75" customHeight="1">
      <c r="D357" s="217"/>
      <c r="E357" s="217"/>
      <c r="F357" s="217"/>
      <c r="G357" s="217"/>
      <c r="H357" s="217"/>
    </row>
    <row r="358" ht="12.75" customHeight="1">
      <c r="D358" s="217"/>
      <c r="E358" s="217"/>
      <c r="F358" s="217"/>
      <c r="G358" s="217"/>
      <c r="H358" s="217"/>
    </row>
    <row r="359" ht="12.75" customHeight="1">
      <c r="D359" s="217"/>
      <c r="E359" s="217"/>
      <c r="F359" s="217"/>
      <c r="G359" s="217"/>
      <c r="H359" s="217"/>
    </row>
    <row r="360" ht="12.75" customHeight="1">
      <c r="D360" s="217"/>
      <c r="E360" s="217"/>
      <c r="F360" s="217"/>
      <c r="G360" s="217"/>
      <c r="H360" s="217"/>
    </row>
    <row r="361" ht="12.75" customHeight="1">
      <c r="D361" s="217"/>
      <c r="E361" s="217"/>
      <c r="F361" s="217"/>
      <c r="G361" s="217"/>
      <c r="H361" s="217"/>
    </row>
    <row r="362" ht="12.75" customHeight="1">
      <c r="D362" s="217"/>
      <c r="E362" s="217"/>
      <c r="F362" s="217"/>
      <c r="G362" s="217"/>
      <c r="H362" s="217"/>
    </row>
    <row r="363" ht="12.75" customHeight="1">
      <c r="D363" s="217"/>
      <c r="E363" s="217"/>
      <c r="F363" s="217"/>
      <c r="G363" s="217"/>
      <c r="H363" s="217"/>
    </row>
    <row r="364" ht="12.75" customHeight="1">
      <c r="D364" s="217"/>
      <c r="E364" s="217"/>
      <c r="F364" s="217"/>
      <c r="G364" s="217"/>
      <c r="H364" s="217"/>
    </row>
    <row r="365" ht="12.75" customHeight="1">
      <c r="D365" s="217"/>
      <c r="E365" s="217"/>
      <c r="F365" s="217"/>
      <c r="G365" s="217"/>
      <c r="H365" s="217"/>
    </row>
    <row r="366" ht="12.75" customHeight="1">
      <c r="D366" s="217"/>
      <c r="E366" s="217"/>
      <c r="F366" s="217"/>
      <c r="G366" s="217"/>
      <c r="H366" s="217"/>
    </row>
    <row r="367" ht="12.75" customHeight="1">
      <c r="D367" s="217"/>
      <c r="E367" s="217"/>
      <c r="F367" s="217"/>
      <c r="G367" s="217"/>
      <c r="H367" s="217"/>
    </row>
    <row r="368" ht="12.75" customHeight="1">
      <c r="D368" s="217"/>
      <c r="E368" s="217"/>
      <c r="F368" s="217"/>
      <c r="G368" s="217"/>
      <c r="H368" s="217"/>
    </row>
    <row r="369" ht="12.75" customHeight="1">
      <c r="D369" s="217"/>
      <c r="E369" s="217"/>
      <c r="F369" s="217"/>
      <c r="G369" s="217"/>
      <c r="H369" s="217"/>
    </row>
    <row r="370" ht="12.75" customHeight="1">
      <c r="D370" s="217"/>
      <c r="E370" s="217"/>
      <c r="F370" s="217"/>
      <c r="G370" s="217"/>
      <c r="H370" s="217"/>
    </row>
    <row r="371" ht="12.75" customHeight="1">
      <c r="D371" s="217"/>
      <c r="E371" s="217"/>
      <c r="F371" s="217"/>
      <c r="G371" s="217"/>
      <c r="H371" s="217"/>
    </row>
    <row r="372" ht="12.75" customHeight="1">
      <c r="D372" s="217"/>
      <c r="E372" s="217"/>
      <c r="F372" s="217"/>
      <c r="G372" s="217"/>
      <c r="H372" s="217"/>
    </row>
    <row r="373" ht="12.75" customHeight="1">
      <c r="D373" s="217"/>
      <c r="E373" s="217"/>
      <c r="F373" s="217"/>
      <c r="G373" s="217"/>
      <c r="H373" s="217"/>
    </row>
    <row r="374" ht="12.75" customHeight="1">
      <c r="D374" s="217"/>
      <c r="E374" s="217"/>
      <c r="F374" s="217"/>
      <c r="G374" s="217"/>
      <c r="H374" s="217"/>
    </row>
    <row r="375" ht="12.75" customHeight="1">
      <c r="D375" s="217"/>
      <c r="E375" s="217"/>
      <c r="F375" s="217"/>
      <c r="G375" s="217"/>
      <c r="H375" s="217"/>
    </row>
    <row r="376" ht="12.75" customHeight="1">
      <c r="D376" s="217"/>
      <c r="E376" s="217"/>
      <c r="F376" s="217"/>
      <c r="G376" s="217"/>
      <c r="H376" s="217"/>
    </row>
    <row r="377" ht="12.75" customHeight="1">
      <c r="D377" s="217"/>
      <c r="E377" s="217"/>
      <c r="F377" s="217"/>
      <c r="G377" s="217"/>
      <c r="H377" s="217"/>
    </row>
    <row r="378" ht="12.75" customHeight="1">
      <c r="D378" s="217"/>
      <c r="E378" s="217"/>
      <c r="F378" s="217"/>
      <c r="G378" s="217"/>
      <c r="H378" s="217"/>
    </row>
    <row r="379" ht="12.75" customHeight="1">
      <c r="D379" s="217"/>
      <c r="E379" s="217"/>
      <c r="F379" s="217"/>
      <c r="G379" s="217"/>
      <c r="H379" s="217"/>
    </row>
    <row r="380" ht="12.75" customHeight="1">
      <c r="D380" s="217"/>
      <c r="E380" s="217"/>
      <c r="F380" s="217"/>
      <c r="G380" s="217"/>
      <c r="H380" s="217"/>
    </row>
    <row r="381" ht="12.75" customHeight="1">
      <c r="D381" s="217"/>
      <c r="E381" s="217"/>
      <c r="F381" s="217"/>
      <c r="G381" s="217"/>
      <c r="H381" s="217"/>
    </row>
    <row r="382" ht="12.75" customHeight="1">
      <c r="D382" s="217"/>
      <c r="E382" s="217"/>
      <c r="F382" s="217"/>
      <c r="G382" s="217"/>
      <c r="H382" s="217"/>
    </row>
    <row r="383" ht="12.75" customHeight="1">
      <c r="D383" s="217"/>
      <c r="E383" s="217"/>
      <c r="F383" s="217"/>
      <c r="G383" s="217"/>
      <c r="H383" s="217"/>
    </row>
    <row r="384" ht="12.75" customHeight="1">
      <c r="D384" s="217"/>
      <c r="E384" s="217"/>
      <c r="F384" s="217"/>
      <c r="G384" s="217"/>
      <c r="H384" s="217"/>
    </row>
    <row r="385" ht="12.75" customHeight="1">
      <c r="D385" s="217"/>
      <c r="E385" s="217"/>
      <c r="F385" s="217"/>
      <c r="G385" s="217"/>
      <c r="H385" s="217"/>
    </row>
    <row r="386" ht="12.75" customHeight="1">
      <c r="D386" s="217"/>
      <c r="E386" s="217"/>
      <c r="F386" s="217"/>
      <c r="G386" s="217"/>
      <c r="H386" s="217"/>
    </row>
    <row r="387" ht="12.75" customHeight="1">
      <c r="D387" s="217"/>
      <c r="E387" s="217"/>
      <c r="F387" s="217"/>
      <c r="G387" s="217"/>
      <c r="H387" s="217"/>
    </row>
    <row r="388" ht="12.75" customHeight="1">
      <c r="D388" s="217"/>
      <c r="E388" s="217"/>
      <c r="F388" s="217"/>
      <c r="G388" s="217"/>
      <c r="H388" s="217"/>
    </row>
    <row r="389" ht="12.75" customHeight="1">
      <c r="D389" s="217"/>
      <c r="E389" s="217"/>
      <c r="F389" s="217"/>
      <c r="G389" s="217"/>
      <c r="H389" s="217"/>
    </row>
    <row r="390" ht="12.75" customHeight="1">
      <c r="D390" s="217"/>
      <c r="E390" s="217"/>
      <c r="F390" s="217"/>
      <c r="G390" s="217"/>
      <c r="H390" s="217"/>
    </row>
    <row r="391" ht="12.75" customHeight="1">
      <c r="D391" s="217"/>
      <c r="E391" s="217"/>
      <c r="F391" s="217"/>
      <c r="G391" s="217"/>
      <c r="H391" s="217"/>
    </row>
    <row r="392" ht="12.75" customHeight="1">
      <c r="D392" s="217"/>
      <c r="E392" s="217"/>
      <c r="F392" s="217"/>
      <c r="G392" s="217"/>
      <c r="H392" s="217"/>
    </row>
    <row r="393" ht="12.75" customHeight="1">
      <c r="D393" s="217"/>
      <c r="E393" s="217"/>
      <c r="F393" s="217"/>
      <c r="G393" s="217"/>
      <c r="H393" s="217"/>
    </row>
    <row r="394" ht="12.75" customHeight="1">
      <c r="D394" s="217"/>
      <c r="E394" s="217"/>
      <c r="F394" s="217"/>
      <c r="G394" s="217"/>
      <c r="H394" s="217"/>
    </row>
    <row r="395" ht="12.75" customHeight="1">
      <c r="D395" s="217"/>
      <c r="E395" s="217"/>
      <c r="F395" s="217"/>
      <c r="G395" s="217"/>
      <c r="H395" s="217"/>
    </row>
    <row r="396" ht="12.75" customHeight="1">
      <c r="D396" s="217"/>
      <c r="E396" s="217"/>
      <c r="F396" s="217"/>
      <c r="G396" s="217"/>
      <c r="H396" s="217"/>
    </row>
    <row r="397" ht="12.75" customHeight="1">
      <c r="D397" s="217"/>
      <c r="E397" s="217"/>
      <c r="F397" s="217"/>
      <c r="G397" s="217"/>
      <c r="H397" s="217"/>
    </row>
    <row r="398" ht="12.75" customHeight="1">
      <c r="D398" s="217"/>
      <c r="E398" s="217"/>
      <c r="F398" s="217"/>
      <c r="G398" s="217"/>
      <c r="H398" s="217"/>
    </row>
    <row r="399" ht="12.75" customHeight="1">
      <c r="D399" s="217"/>
      <c r="E399" s="217"/>
      <c r="F399" s="217"/>
      <c r="G399" s="217"/>
      <c r="H399" s="217"/>
    </row>
    <row r="400" ht="12.75" customHeight="1">
      <c r="D400" s="217"/>
      <c r="E400" s="217"/>
      <c r="F400" s="217"/>
      <c r="G400" s="217"/>
      <c r="H400" s="217"/>
    </row>
    <row r="401" ht="12.75" customHeight="1">
      <c r="D401" s="217"/>
      <c r="E401" s="217"/>
      <c r="F401" s="217"/>
      <c r="G401" s="217"/>
      <c r="H401" s="217"/>
    </row>
    <row r="402" ht="12.75" customHeight="1">
      <c r="D402" s="217"/>
      <c r="E402" s="217"/>
      <c r="F402" s="217"/>
      <c r="G402" s="217"/>
      <c r="H402" s="217"/>
    </row>
    <row r="403" ht="12.75" customHeight="1">
      <c r="D403" s="217"/>
      <c r="E403" s="217"/>
      <c r="F403" s="217"/>
      <c r="G403" s="217"/>
      <c r="H403" s="217"/>
    </row>
    <row r="404" ht="12.75" customHeight="1">
      <c r="D404" s="217"/>
      <c r="E404" s="217"/>
      <c r="F404" s="217"/>
      <c r="G404" s="217"/>
      <c r="H404" s="217"/>
    </row>
    <row r="405" ht="12.75" customHeight="1">
      <c r="D405" s="217"/>
      <c r="E405" s="217"/>
      <c r="F405" s="217"/>
      <c r="G405" s="217"/>
      <c r="H405" s="217"/>
    </row>
    <row r="406" ht="12.75" customHeight="1">
      <c r="D406" s="217"/>
      <c r="E406" s="217"/>
      <c r="F406" s="217"/>
      <c r="G406" s="217"/>
      <c r="H406" s="217"/>
    </row>
    <row r="407" ht="12.75" customHeight="1">
      <c r="D407" s="217"/>
      <c r="E407" s="217"/>
      <c r="F407" s="217"/>
      <c r="G407" s="217"/>
      <c r="H407" s="217"/>
    </row>
    <row r="408" ht="12.75" customHeight="1">
      <c r="D408" s="217"/>
      <c r="E408" s="217"/>
      <c r="F408" s="217"/>
      <c r="G408" s="217"/>
      <c r="H408" s="217"/>
    </row>
    <row r="409" ht="12.75" customHeight="1">
      <c r="D409" s="217"/>
      <c r="E409" s="217"/>
      <c r="F409" s="217"/>
      <c r="G409" s="217"/>
      <c r="H409" s="217"/>
    </row>
    <row r="410" ht="12.75" customHeight="1">
      <c r="D410" s="217"/>
      <c r="E410" s="217"/>
      <c r="F410" s="217"/>
      <c r="G410" s="217"/>
      <c r="H410" s="217"/>
    </row>
    <row r="411" ht="12.75" customHeight="1">
      <c r="D411" s="217"/>
      <c r="E411" s="217"/>
      <c r="F411" s="217"/>
      <c r="G411" s="217"/>
      <c r="H411" s="217"/>
    </row>
    <row r="412" ht="12.75" customHeight="1">
      <c r="D412" s="217"/>
      <c r="E412" s="217"/>
      <c r="F412" s="217"/>
      <c r="G412" s="217"/>
      <c r="H412" s="217"/>
    </row>
    <row r="413" ht="12.75" customHeight="1">
      <c r="D413" s="217"/>
      <c r="E413" s="217"/>
      <c r="F413" s="217"/>
      <c r="G413" s="217"/>
      <c r="H413" s="217"/>
    </row>
    <row r="414" ht="12.75" customHeight="1">
      <c r="D414" s="217"/>
      <c r="E414" s="217"/>
      <c r="F414" s="217"/>
      <c r="G414" s="217"/>
      <c r="H414" s="217"/>
    </row>
    <row r="415" ht="12.75" customHeight="1">
      <c r="D415" s="217"/>
      <c r="E415" s="217"/>
      <c r="F415" s="217"/>
      <c r="G415" s="217"/>
      <c r="H415" s="217"/>
    </row>
    <row r="416" ht="12.75" customHeight="1">
      <c r="D416" s="217"/>
      <c r="E416" s="217"/>
      <c r="F416" s="217"/>
      <c r="G416" s="217"/>
      <c r="H416" s="217"/>
    </row>
    <row r="417" ht="12.75" customHeight="1">
      <c r="D417" s="217"/>
      <c r="E417" s="217"/>
      <c r="F417" s="217"/>
      <c r="G417" s="217"/>
      <c r="H417" s="217"/>
    </row>
    <row r="418" ht="12.75" customHeight="1">
      <c r="D418" s="217"/>
      <c r="E418" s="217"/>
      <c r="F418" s="217"/>
      <c r="G418" s="217"/>
      <c r="H418" s="217"/>
    </row>
    <row r="419" ht="12.75" customHeight="1">
      <c r="D419" s="217"/>
      <c r="E419" s="217"/>
      <c r="F419" s="217"/>
      <c r="G419" s="217"/>
      <c r="H419" s="217"/>
    </row>
    <row r="420" ht="12.75" customHeight="1">
      <c r="D420" s="217"/>
      <c r="E420" s="217"/>
      <c r="F420" s="217"/>
      <c r="G420" s="217"/>
      <c r="H420" s="217"/>
    </row>
    <row r="421" ht="12.75" customHeight="1">
      <c r="D421" s="217"/>
      <c r="E421" s="217"/>
      <c r="F421" s="217"/>
      <c r="G421" s="217"/>
      <c r="H421" s="217"/>
    </row>
    <row r="422" ht="12.75" customHeight="1">
      <c r="D422" s="217"/>
      <c r="E422" s="217"/>
      <c r="F422" s="217"/>
      <c r="G422" s="217"/>
      <c r="H422" s="217"/>
    </row>
    <row r="423" ht="12.75" customHeight="1">
      <c r="D423" s="217"/>
      <c r="E423" s="217"/>
      <c r="F423" s="217"/>
      <c r="G423" s="217"/>
      <c r="H423" s="217"/>
    </row>
    <row r="424" ht="12.75" customHeight="1">
      <c r="D424" s="217"/>
      <c r="E424" s="217"/>
      <c r="F424" s="217"/>
      <c r="G424" s="217"/>
      <c r="H424" s="217"/>
    </row>
    <row r="425" ht="12.75" customHeight="1">
      <c r="D425" s="217"/>
      <c r="E425" s="217"/>
      <c r="F425" s="217"/>
      <c r="G425" s="217"/>
      <c r="H425" s="217"/>
    </row>
    <row r="426" ht="12.75" customHeight="1">
      <c r="D426" s="217"/>
      <c r="E426" s="217"/>
      <c r="F426" s="217"/>
      <c r="G426" s="217"/>
      <c r="H426" s="217"/>
    </row>
    <row r="427" ht="12.75" customHeight="1">
      <c r="D427" s="217"/>
      <c r="E427" s="217"/>
      <c r="F427" s="217"/>
      <c r="G427" s="217"/>
      <c r="H427" s="217"/>
    </row>
    <row r="428" ht="12.75" customHeight="1">
      <c r="D428" s="217"/>
      <c r="E428" s="217"/>
      <c r="F428" s="217"/>
      <c r="G428" s="217"/>
      <c r="H428" s="217"/>
    </row>
    <row r="429" ht="12.75" customHeight="1">
      <c r="D429" s="217"/>
      <c r="E429" s="217"/>
      <c r="F429" s="217"/>
      <c r="G429" s="217"/>
      <c r="H429" s="217"/>
    </row>
    <row r="430" ht="12.75" customHeight="1">
      <c r="D430" s="217"/>
      <c r="E430" s="217"/>
      <c r="F430" s="217"/>
      <c r="G430" s="217"/>
      <c r="H430" s="217"/>
    </row>
    <row r="431" ht="12.75" customHeight="1">
      <c r="D431" s="217"/>
      <c r="E431" s="217"/>
      <c r="F431" s="217"/>
      <c r="G431" s="217"/>
      <c r="H431" s="217"/>
    </row>
    <row r="432" ht="12.75" customHeight="1">
      <c r="D432" s="217"/>
      <c r="E432" s="217"/>
      <c r="F432" s="217"/>
      <c r="G432" s="217"/>
      <c r="H432" s="217"/>
    </row>
    <row r="433" ht="12.75" customHeight="1">
      <c r="D433" s="217"/>
      <c r="E433" s="217"/>
      <c r="F433" s="217"/>
      <c r="G433" s="217"/>
      <c r="H433" s="217"/>
    </row>
    <row r="434" ht="12.75" customHeight="1">
      <c r="D434" s="217"/>
      <c r="E434" s="217"/>
      <c r="F434" s="217"/>
      <c r="G434" s="217"/>
      <c r="H434" s="217"/>
    </row>
    <row r="435" ht="12.75" customHeight="1">
      <c r="D435" s="217"/>
      <c r="E435" s="217"/>
      <c r="F435" s="217"/>
      <c r="G435" s="217"/>
      <c r="H435" s="217"/>
    </row>
    <row r="436" ht="12.75" customHeight="1">
      <c r="D436" s="217"/>
      <c r="E436" s="217"/>
      <c r="F436" s="217"/>
      <c r="G436" s="217"/>
      <c r="H436" s="217"/>
    </row>
    <row r="437" ht="12.75" customHeight="1">
      <c r="D437" s="217"/>
      <c r="E437" s="217"/>
      <c r="F437" s="217"/>
      <c r="G437" s="217"/>
      <c r="H437" s="217"/>
    </row>
    <row r="438" ht="12.75" customHeight="1">
      <c r="D438" s="217"/>
      <c r="E438" s="217"/>
      <c r="F438" s="217"/>
      <c r="G438" s="217"/>
      <c r="H438" s="217"/>
    </row>
    <row r="439" ht="12.75" customHeight="1">
      <c r="D439" s="217"/>
      <c r="E439" s="217"/>
      <c r="F439" s="217"/>
      <c r="G439" s="217"/>
      <c r="H439" s="217"/>
    </row>
    <row r="440" ht="12.75" customHeight="1">
      <c r="D440" s="217"/>
      <c r="E440" s="217"/>
      <c r="F440" s="217"/>
      <c r="G440" s="217"/>
      <c r="H440" s="217"/>
    </row>
    <row r="441" ht="12.75" customHeight="1">
      <c r="D441" s="217"/>
      <c r="E441" s="217"/>
      <c r="F441" s="217"/>
      <c r="G441" s="217"/>
      <c r="H441" s="217"/>
    </row>
    <row r="442" ht="12.75" customHeight="1">
      <c r="D442" s="217"/>
      <c r="E442" s="217"/>
      <c r="F442" s="217"/>
      <c r="G442" s="217"/>
      <c r="H442" s="217"/>
    </row>
    <row r="443" ht="12.75" customHeight="1">
      <c r="D443" s="217"/>
      <c r="E443" s="217"/>
      <c r="F443" s="217"/>
      <c r="G443" s="217"/>
      <c r="H443" s="217"/>
    </row>
    <row r="444" ht="12.75" customHeight="1">
      <c r="D444" s="217"/>
      <c r="E444" s="217"/>
      <c r="F444" s="217"/>
      <c r="G444" s="217"/>
      <c r="H444" s="217"/>
    </row>
    <row r="445" ht="12.75" customHeight="1">
      <c r="D445" s="217"/>
      <c r="E445" s="217"/>
      <c r="F445" s="217"/>
      <c r="G445" s="217"/>
      <c r="H445" s="217"/>
    </row>
    <row r="446" ht="12.75" customHeight="1">
      <c r="D446" s="217"/>
      <c r="E446" s="217"/>
      <c r="F446" s="217"/>
      <c r="G446" s="217"/>
      <c r="H446" s="217"/>
    </row>
    <row r="447" ht="12.75" customHeight="1">
      <c r="D447" s="217"/>
      <c r="E447" s="217"/>
      <c r="F447" s="217"/>
      <c r="G447" s="217"/>
      <c r="H447" s="217"/>
    </row>
    <row r="448" ht="12.75" customHeight="1">
      <c r="D448" s="217"/>
      <c r="E448" s="217"/>
      <c r="F448" s="217"/>
      <c r="G448" s="217"/>
      <c r="H448" s="217"/>
    </row>
    <row r="449" ht="12.75" customHeight="1">
      <c r="D449" s="217"/>
      <c r="E449" s="217"/>
      <c r="F449" s="217"/>
      <c r="G449" s="217"/>
      <c r="H449" s="217"/>
    </row>
    <row r="450" ht="12.75" customHeight="1">
      <c r="D450" s="217"/>
      <c r="E450" s="217"/>
      <c r="F450" s="217"/>
      <c r="G450" s="217"/>
      <c r="H450" s="217"/>
    </row>
    <row r="451" ht="12.75" customHeight="1">
      <c r="D451" s="217"/>
      <c r="E451" s="217"/>
      <c r="F451" s="217"/>
      <c r="G451" s="217"/>
      <c r="H451" s="217"/>
    </row>
    <row r="452" ht="12.75" customHeight="1">
      <c r="D452" s="217"/>
      <c r="E452" s="217"/>
      <c r="F452" s="217"/>
      <c r="G452" s="217"/>
      <c r="H452" s="217"/>
    </row>
    <row r="453" ht="12.75" customHeight="1">
      <c r="D453" s="217"/>
      <c r="E453" s="217"/>
      <c r="F453" s="217"/>
      <c r="G453" s="217"/>
      <c r="H453" s="217"/>
    </row>
    <row r="454" ht="12.75" customHeight="1">
      <c r="D454" s="217"/>
      <c r="E454" s="217"/>
      <c r="F454" s="217"/>
      <c r="G454" s="217"/>
      <c r="H454" s="217"/>
    </row>
    <row r="455" ht="12.75" customHeight="1">
      <c r="D455" s="217"/>
      <c r="E455" s="217"/>
      <c r="F455" s="217"/>
      <c r="G455" s="217"/>
      <c r="H455" s="217"/>
    </row>
    <row r="456" ht="12.75" customHeight="1">
      <c r="D456" s="217"/>
      <c r="E456" s="217"/>
      <c r="F456" s="217"/>
      <c r="G456" s="217"/>
      <c r="H456" s="217"/>
    </row>
    <row r="457" ht="12.75" customHeight="1">
      <c r="D457" s="217"/>
      <c r="E457" s="217"/>
      <c r="F457" s="217"/>
      <c r="G457" s="217"/>
      <c r="H457" s="217"/>
    </row>
    <row r="458" ht="12.75" customHeight="1">
      <c r="D458" s="217"/>
      <c r="E458" s="217"/>
      <c r="F458" s="217"/>
      <c r="G458" s="217"/>
      <c r="H458" s="217"/>
    </row>
    <row r="459" ht="12.75" customHeight="1">
      <c r="D459" s="217"/>
      <c r="E459" s="217"/>
      <c r="F459" s="217"/>
      <c r="G459" s="217"/>
      <c r="H459" s="217"/>
    </row>
    <row r="460" ht="12.75" customHeight="1">
      <c r="D460" s="217"/>
      <c r="E460" s="217"/>
      <c r="F460" s="217"/>
      <c r="G460" s="217"/>
      <c r="H460" s="217"/>
    </row>
    <row r="461" ht="12.75" customHeight="1">
      <c r="D461" s="217"/>
      <c r="E461" s="217"/>
      <c r="F461" s="217"/>
      <c r="G461" s="217"/>
      <c r="H461" s="217"/>
    </row>
    <row r="462" ht="12.75" customHeight="1">
      <c r="D462" s="217"/>
      <c r="E462" s="217"/>
      <c r="F462" s="217"/>
      <c r="G462" s="217"/>
      <c r="H462" s="217"/>
    </row>
    <row r="463" ht="12.75" customHeight="1">
      <c r="D463" s="217"/>
      <c r="E463" s="217"/>
      <c r="F463" s="217"/>
      <c r="G463" s="217"/>
      <c r="H463" s="217"/>
    </row>
    <row r="464" ht="12.75" customHeight="1">
      <c r="D464" s="217"/>
      <c r="E464" s="217"/>
      <c r="F464" s="217"/>
      <c r="G464" s="217"/>
      <c r="H464" s="217"/>
    </row>
    <row r="465" ht="12.75" customHeight="1">
      <c r="D465" s="217"/>
      <c r="E465" s="217"/>
      <c r="F465" s="217"/>
      <c r="G465" s="217"/>
      <c r="H465" s="217"/>
    </row>
    <row r="466" ht="12.75" customHeight="1">
      <c r="D466" s="217"/>
      <c r="E466" s="217"/>
      <c r="F466" s="217"/>
      <c r="G466" s="217"/>
      <c r="H466" s="217"/>
    </row>
    <row r="467" ht="12.75" customHeight="1">
      <c r="D467" s="217"/>
      <c r="E467" s="217"/>
      <c r="F467" s="217"/>
      <c r="G467" s="217"/>
      <c r="H467" s="217"/>
    </row>
    <row r="468" ht="12.75" customHeight="1">
      <c r="D468" s="217"/>
      <c r="E468" s="217"/>
      <c r="F468" s="217"/>
      <c r="G468" s="217"/>
      <c r="H468" s="217"/>
    </row>
    <row r="469" ht="12.75" customHeight="1">
      <c r="D469" s="217"/>
      <c r="E469" s="217"/>
      <c r="F469" s="217"/>
      <c r="G469" s="217"/>
      <c r="H469" s="217"/>
    </row>
    <row r="470" ht="12.75" customHeight="1">
      <c r="D470" s="217"/>
      <c r="E470" s="217"/>
      <c r="F470" s="217"/>
      <c r="G470" s="217"/>
      <c r="H470" s="217"/>
    </row>
    <row r="471" ht="12.75" customHeight="1">
      <c r="D471" s="217"/>
      <c r="E471" s="217"/>
      <c r="F471" s="217"/>
      <c r="G471" s="217"/>
      <c r="H471" s="217"/>
    </row>
    <row r="472" ht="12.75" customHeight="1">
      <c r="D472" s="217"/>
      <c r="E472" s="217"/>
      <c r="F472" s="217"/>
      <c r="G472" s="217"/>
      <c r="H472" s="217"/>
    </row>
    <row r="473" ht="12.75" customHeight="1">
      <c r="D473" s="217"/>
      <c r="E473" s="217"/>
      <c r="F473" s="217"/>
      <c r="G473" s="217"/>
      <c r="H473" s="217"/>
    </row>
    <row r="474" ht="12.75" customHeight="1">
      <c r="D474" s="217"/>
      <c r="E474" s="217"/>
      <c r="F474" s="217"/>
      <c r="G474" s="217"/>
      <c r="H474" s="217"/>
    </row>
    <row r="475" ht="12.75" customHeight="1">
      <c r="D475" s="217"/>
      <c r="E475" s="217"/>
      <c r="F475" s="217"/>
      <c r="G475" s="217"/>
      <c r="H475" s="217"/>
    </row>
    <row r="476" ht="12.75" customHeight="1">
      <c r="D476" s="217"/>
      <c r="E476" s="217"/>
      <c r="F476" s="217"/>
      <c r="G476" s="217"/>
      <c r="H476" s="217"/>
    </row>
    <row r="477" ht="12.75" customHeight="1">
      <c r="D477" s="217"/>
      <c r="E477" s="217"/>
      <c r="F477" s="217"/>
      <c r="G477" s="217"/>
      <c r="H477" s="217"/>
    </row>
    <row r="478" ht="12.75" customHeight="1">
      <c r="D478" s="217"/>
      <c r="E478" s="217"/>
      <c r="F478" s="217"/>
      <c r="G478" s="217"/>
      <c r="H478" s="217"/>
    </row>
    <row r="479" ht="12.75" customHeight="1">
      <c r="D479" s="217"/>
      <c r="E479" s="217"/>
      <c r="F479" s="217"/>
      <c r="G479" s="217"/>
      <c r="H479" s="217"/>
    </row>
    <row r="480" ht="12.75" customHeight="1">
      <c r="D480" s="217"/>
      <c r="E480" s="217"/>
      <c r="F480" s="217"/>
      <c r="G480" s="217"/>
      <c r="H480" s="217"/>
    </row>
    <row r="481" ht="12.75" customHeight="1">
      <c r="D481" s="217"/>
      <c r="E481" s="217"/>
      <c r="F481" s="217"/>
      <c r="G481" s="217"/>
      <c r="H481" s="217"/>
    </row>
    <row r="482" ht="12.75" customHeight="1">
      <c r="D482" s="217"/>
      <c r="E482" s="217"/>
      <c r="F482" s="217"/>
      <c r="G482" s="217"/>
      <c r="H482" s="217"/>
    </row>
    <row r="483" ht="12.75" customHeight="1">
      <c r="D483" s="217"/>
      <c r="E483" s="217"/>
      <c r="F483" s="217"/>
      <c r="G483" s="217"/>
      <c r="H483" s="217"/>
    </row>
    <row r="484" ht="12.75" customHeight="1">
      <c r="D484" s="217"/>
      <c r="E484" s="217"/>
      <c r="F484" s="217"/>
      <c r="G484" s="217"/>
      <c r="H484" s="217"/>
    </row>
    <row r="485" ht="12.75" customHeight="1">
      <c r="D485" s="217"/>
      <c r="E485" s="217"/>
      <c r="F485" s="217"/>
      <c r="G485" s="217"/>
      <c r="H485" s="217"/>
    </row>
    <row r="486" ht="12.75" customHeight="1">
      <c r="D486" s="217"/>
      <c r="E486" s="217"/>
      <c r="F486" s="217"/>
      <c r="G486" s="217"/>
      <c r="H486" s="217"/>
    </row>
    <row r="487" ht="12.75" customHeight="1">
      <c r="D487" s="217"/>
      <c r="E487" s="217"/>
      <c r="F487" s="217"/>
      <c r="G487" s="217"/>
      <c r="H487" s="217"/>
    </row>
    <row r="488" ht="12.75" customHeight="1">
      <c r="D488" s="217"/>
      <c r="E488" s="217"/>
      <c r="F488" s="217"/>
      <c r="G488" s="217"/>
      <c r="H488" s="217"/>
    </row>
    <row r="489" ht="12.75" customHeight="1">
      <c r="D489" s="217"/>
      <c r="E489" s="217"/>
      <c r="F489" s="217"/>
      <c r="G489" s="217"/>
      <c r="H489" s="217"/>
    </row>
    <row r="490" ht="12.75" customHeight="1">
      <c r="D490" s="217"/>
      <c r="E490" s="217"/>
      <c r="F490" s="217"/>
      <c r="G490" s="217"/>
      <c r="H490" s="217"/>
    </row>
    <row r="491" ht="12.75" customHeight="1">
      <c r="D491" s="217"/>
      <c r="E491" s="217"/>
      <c r="F491" s="217"/>
      <c r="G491" s="217"/>
      <c r="H491" s="217"/>
    </row>
    <row r="492" ht="12.75" customHeight="1">
      <c r="D492" s="217"/>
      <c r="E492" s="217"/>
      <c r="F492" s="217"/>
      <c r="G492" s="217"/>
      <c r="H492" s="217"/>
    </row>
    <row r="493" ht="12.75" customHeight="1">
      <c r="D493" s="217"/>
      <c r="E493" s="217"/>
      <c r="F493" s="217"/>
      <c r="G493" s="217"/>
      <c r="H493" s="217"/>
    </row>
    <row r="494" ht="12.75" customHeight="1">
      <c r="D494" s="217"/>
      <c r="E494" s="217"/>
      <c r="F494" s="217"/>
      <c r="G494" s="217"/>
      <c r="H494" s="217"/>
    </row>
    <row r="495" ht="12.75" customHeight="1">
      <c r="D495" s="217"/>
      <c r="E495" s="217"/>
      <c r="F495" s="217"/>
      <c r="G495" s="217"/>
      <c r="H495" s="217"/>
    </row>
    <row r="496" ht="12.75" customHeight="1">
      <c r="D496" s="217"/>
      <c r="E496" s="217"/>
      <c r="F496" s="217"/>
      <c r="G496" s="217"/>
      <c r="H496" s="217"/>
    </row>
    <row r="497" ht="12.75" customHeight="1">
      <c r="D497" s="217"/>
      <c r="E497" s="217"/>
      <c r="F497" s="217"/>
      <c r="G497" s="217"/>
      <c r="H497" s="217"/>
    </row>
    <row r="498" ht="12.75" customHeight="1">
      <c r="D498" s="217"/>
      <c r="E498" s="217"/>
      <c r="F498" s="217"/>
      <c r="G498" s="217"/>
      <c r="H498" s="217"/>
    </row>
    <row r="499" ht="12.75" customHeight="1">
      <c r="D499" s="217"/>
      <c r="E499" s="217"/>
      <c r="F499" s="217"/>
      <c r="G499" s="217"/>
      <c r="H499" s="217"/>
    </row>
    <row r="500" ht="12.75" customHeight="1">
      <c r="D500" s="217"/>
      <c r="E500" s="217"/>
      <c r="F500" s="217"/>
      <c r="G500" s="217"/>
      <c r="H500" s="217"/>
    </row>
    <row r="501" ht="12.75" customHeight="1">
      <c r="D501" s="217"/>
      <c r="E501" s="217"/>
      <c r="F501" s="217"/>
      <c r="G501" s="217"/>
      <c r="H501" s="217"/>
    </row>
    <row r="502" ht="12.75" customHeight="1">
      <c r="D502" s="217"/>
      <c r="E502" s="217"/>
      <c r="F502" s="217"/>
      <c r="G502" s="217"/>
      <c r="H502" s="217"/>
    </row>
    <row r="503" ht="12.75" customHeight="1">
      <c r="D503" s="217"/>
      <c r="E503" s="217"/>
      <c r="F503" s="217"/>
      <c r="G503" s="217"/>
      <c r="H503" s="217"/>
    </row>
    <row r="504" ht="12.75" customHeight="1">
      <c r="D504" s="217"/>
      <c r="E504" s="217"/>
      <c r="F504" s="217"/>
      <c r="G504" s="217"/>
      <c r="H504" s="217"/>
    </row>
    <row r="505" ht="12.75" customHeight="1">
      <c r="D505" s="217"/>
      <c r="E505" s="217"/>
      <c r="F505" s="217"/>
      <c r="G505" s="217"/>
      <c r="H505" s="217"/>
    </row>
    <row r="506" ht="12.75" customHeight="1">
      <c r="D506" s="217"/>
      <c r="E506" s="217"/>
      <c r="F506" s="217"/>
      <c r="G506" s="217"/>
      <c r="H506" s="217"/>
    </row>
    <row r="507" ht="12.75" customHeight="1">
      <c r="D507" s="217"/>
      <c r="E507" s="217"/>
      <c r="F507" s="217"/>
      <c r="G507" s="217"/>
      <c r="H507" s="217"/>
    </row>
    <row r="508" ht="12.75" customHeight="1">
      <c r="D508" s="217"/>
      <c r="E508" s="217"/>
      <c r="F508" s="217"/>
      <c r="G508" s="217"/>
      <c r="H508" s="217"/>
    </row>
    <row r="509" ht="12.75" customHeight="1">
      <c r="D509" s="217"/>
      <c r="E509" s="217"/>
      <c r="F509" s="217"/>
      <c r="G509" s="217"/>
      <c r="H509" s="217"/>
    </row>
    <row r="510" ht="12.75" customHeight="1">
      <c r="D510" s="217"/>
      <c r="E510" s="217"/>
      <c r="F510" s="217"/>
      <c r="G510" s="217"/>
      <c r="H510" s="217"/>
    </row>
    <row r="511" ht="12.75" customHeight="1">
      <c r="D511" s="217"/>
      <c r="E511" s="217"/>
      <c r="F511" s="217"/>
      <c r="G511" s="217"/>
      <c r="H511" s="217"/>
    </row>
    <row r="512" ht="12.75" customHeight="1">
      <c r="D512" s="217"/>
      <c r="E512" s="217"/>
      <c r="F512" s="217"/>
      <c r="G512" s="217"/>
      <c r="H512" s="217"/>
    </row>
    <row r="513" ht="12.75" customHeight="1">
      <c r="D513" s="217"/>
      <c r="E513" s="217"/>
      <c r="F513" s="217"/>
      <c r="G513" s="217"/>
      <c r="H513" s="217"/>
    </row>
    <row r="514" ht="12.75" customHeight="1">
      <c r="D514" s="217"/>
      <c r="E514" s="217"/>
      <c r="F514" s="217"/>
      <c r="G514" s="217"/>
      <c r="H514" s="217"/>
    </row>
    <row r="515" ht="12.75" customHeight="1">
      <c r="D515" s="217"/>
      <c r="E515" s="217"/>
      <c r="F515" s="217"/>
      <c r="G515" s="217"/>
      <c r="H515" s="217"/>
    </row>
    <row r="516" ht="12.75" customHeight="1">
      <c r="D516" s="217"/>
      <c r="E516" s="217"/>
      <c r="F516" s="217"/>
      <c r="G516" s="217"/>
      <c r="H516" s="217"/>
    </row>
    <row r="517" ht="12.75" customHeight="1">
      <c r="D517" s="217"/>
      <c r="E517" s="217"/>
      <c r="F517" s="217"/>
      <c r="G517" s="217"/>
      <c r="H517" s="217"/>
    </row>
    <row r="518" ht="12.75" customHeight="1">
      <c r="D518" s="217"/>
      <c r="E518" s="217"/>
      <c r="F518" s="217"/>
      <c r="G518" s="217"/>
      <c r="H518" s="217"/>
    </row>
    <row r="519" ht="12.75" customHeight="1">
      <c r="D519" s="217"/>
      <c r="E519" s="217"/>
      <c r="F519" s="217"/>
      <c r="G519" s="217"/>
      <c r="H519" s="217"/>
    </row>
    <row r="520" ht="12.75" customHeight="1">
      <c r="D520" s="217"/>
      <c r="E520" s="217"/>
      <c r="F520" s="217"/>
      <c r="G520" s="217"/>
      <c r="H520" s="217"/>
    </row>
    <row r="521" ht="12.75" customHeight="1">
      <c r="D521" s="217"/>
      <c r="E521" s="217"/>
      <c r="F521" s="217"/>
      <c r="G521" s="217"/>
      <c r="H521" s="217"/>
    </row>
    <row r="522" ht="12.75" customHeight="1">
      <c r="D522" s="217"/>
      <c r="E522" s="217"/>
      <c r="F522" s="217"/>
      <c r="G522" s="217"/>
      <c r="H522" s="217"/>
    </row>
    <row r="523" ht="12.75" customHeight="1">
      <c r="D523" s="217"/>
      <c r="E523" s="217"/>
      <c r="F523" s="217"/>
      <c r="G523" s="217"/>
      <c r="H523" s="217"/>
    </row>
    <row r="524" ht="12.75" customHeight="1">
      <c r="D524" s="217"/>
      <c r="E524" s="217"/>
      <c r="F524" s="217"/>
      <c r="G524" s="217"/>
      <c r="H524" s="217"/>
    </row>
    <row r="525" ht="12.75" customHeight="1">
      <c r="D525" s="217"/>
      <c r="E525" s="217"/>
      <c r="F525" s="217"/>
      <c r="G525" s="217"/>
      <c r="H525" s="217"/>
    </row>
    <row r="526" ht="12.75" customHeight="1">
      <c r="D526" s="217"/>
      <c r="E526" s="217"/>
      <c r="F526" s="217"/>
      <c r="G526" s="217"/>
      <c r="H526" s="217"/>
    </row>
    <row r="527" ht="12.75" customHeight="1">
      <c r="D527" s="217"/>
      <c r="E527" s="217"/>
      <c r="F527" s="217"/>
      <c r="G527" s="217"/>
      <c r="H527" s="217"/>
    </row>
    <row r="528" ht="12.75" customHeight="1">
      <c r="D528" s="217"/>
      <c r="E528" s="217"/>
      <c r="F528" s="217"/>
      <c r="G528" s="217"/>
      <c r="H528" s="217"/>
    </row>
    <row r="529" ht="12.75" customHeight="1">
      <c r="D529" s="217"/>
      <c r="E529" s="217"/>
      <c r="F529" s="217"/>
      <c r="G529" s="217"/>
      <c r="H529" s="217"/>
    </row>
    <row r="530" ht="12.75" customHeight="1">
      <c r="D530" s="217"/>
      <c r="E530" s="217"/>
      <c r="F530" s="217"/>
      <c r="G530" s="217"/>
      <c r="H530" s="217"/>
    </row>
    <row r="531" ht="12.75" customHeight="1">
      <c r="D531" s="217"/>
      <c r="E531" s="217"/>
      <c r="F531" s="217"/>
      <c r="G531" s="217"/>
      <c r="H531" s="217"/>
    </row>
    <row r="532" ht="12.75" customHeight="1">
      <c r="D532" s="217"/>
      <c r="E532" s="217"/>
      <c r="F532" s="217"/>
      <c r="G532" s="217"/>
      <c r="H532" s="217"/>
    </row>
    <row r="533" ht="12.75" customHeight="1">
      <c r="D533" s="217"/>
      <c r="E533" s="217"/>
      <c r="F533" s="217"/>
      <c r="G533" s="217"/>
      <c r="H533" s="217"/>
    </row>
    <row r="534" ht="12.75" customHeight="1">
      <c r="D534" s="217"/>
      <c r="E534" s="217"/>
      <c r="F534" s="217"/>
      <c r="G534" s="217"/>
      <c r="H534" s="217"/>
    </row>
    <row r="535" ht="12.75" customHeight="1">
      <c r="D535" s="217"/>
      <c r="E535" s="217"/>
      <c r="F535" s="217"/>
      <c r="G535" s="217"/>
      <c r="H535" s="217"/>
    </row>
    <row r="536" ht="12.75" customHeight="1">
      <c r="D536" s="217"/>
      <c r="E536" s="217"/>
      <c r="F536" s="217"/>
      <c r="G536" s="217"/>
      <c r="H536" s="217"/>
    </row>
    <row r="537" ht="12.75" customHeight="1">
      <c r="D537" s="217"/>
      <c r="E537" s="217"/>
      <c r="F537" s="217"/>
      <c r="G537" s="217"/>
      <c r="H537" s="217"/>
    </row>
    <row r="538" ht="12.75" customHeight="1">
      <c r="D538" s="217"/>
      <c r="E538" s="217"/>
      <c r="F538" s="217"/>
      <c r="G538" s="217"/>
      <c r="H538" s="217"/>
    </row>
    <row r="539" ht="12.75" customHeight="1">
      <c r="D539" s="217"/>
      <c r="E539" s="217"/>
      <c r="F539" s="217"/>
      <c r="G539" s="217"/>
      <c r="H539" s="217"/>
    </row>
    <row r="540" ht="12.75" customHeight="1">
      <c r="D540" s="217"/>
      <c r="E540" s="217"/>
      <c r="F540" s="217"/>
      <c r="G540" s="217"/>
      <c r="H540" s="217"/>
    </row>
    <row r="541" ht="12.75" customHeight="1">
      <c r="D541" s="217"/>
      <c r="E541" s="217"/>
      <c r="F541" s="217"/>
      <c r="G541" s="217"/>
      <c r="H541" s="217"/>
    </row>
    <row r="542" ht="12.75" customHeight="1">
      <c r="D542" s="217"/>
      <c r="E542" s="217"/>
      <c r="F542" s="217"/>
      <c r="G542" s="217"/>
      <c r="H542" s="217"/>
    </row>
    <row r="543" ht="12.75" customHeight="1">
      <c r="D543" s="217"/>
      <c r="E543" s="217"/>
      <c r="F543" s="217"/>
      <c r="G543" s="217"/>
      <c r="H543" s="217"/>
    </row>
    <row r="544" ht="12.75" customHeight="1">
      <c r="D544" s="217"/>
      <c r="E544" s="217"/>
      <c r="F544" s="217"/>
      <c r="G544" s="217"/>
      <c r="H544" s="217"/>
    </row>
    <row r="545" ht="12.75" customHeight="1">
      <c r="D545" s="217"/>
      <c r="E545" s="217"/>
      <c r="F545" s="217"/>
      <c r="G545" s="217"/>
      <c r="H545" s="217"/>
    </row>
    <row r="546" ht="12.75" customHeight="1">
      <c r="D546" s="217"/>
      <c r="E546" s="217"/>
      <c r="F546" s="217"/>
      <c r="G546" s="217"/>
      <c r="H546" s="217"/>
    </row>
    <row r="547" ht="12.75" customHeight="1">
      <c r="D547" s="217"/>
      <c r="E547" s="217"/>
      <c r="F547" s="217"/>
      <c r="G547" s="217"/>
      <c r="H547" s="217"/>
    </row>
    <row r="548" ht="12.75" customHeight="1">
      <c r="D548" s="217"/>
      <c r="E548" s="217"/>
      <c r="F548" s="217"/>
      <c r="G548" s="217"/>
      <c r="H548" s="217"/>
    </row>
    <row r="549" ht="12.75" customHeight="1">
      <c r="D549" s="217"/>
      <c r="E549" s="217"/>
      <c r="F549" s="217"/>
      <c r="G549" s="217"/>
      <c r="H549" s="217"/>
    </row>
    <row r="550" ht="12.75" customHeight="1">
      <c r="D550" s="217"/>
      <c r="E550" s="217"/>
      <c r="F550" s="217"/>
      <c r="G550" s="217"/>
      <c r="H550" s="217"/>
    </row>
    <row r="551" ht="12.75" customHeight="1">
      <c r="D551" s="217"/>
      <c r="E551" s="217"/>
      <c r="F551" s="217"/>
      <c r="G551" s="217"/>
      <c r="H551" s="217"/>
    </row>
    <row r="552" ht="12.75" customHeight="1">
      <c r="D552" s="217"/>
      <c r="E552" s="217"/>
      <c r="F552" s="217"/>
      <c r="G552" s="217"/>
      <c r="H552" s="217"/>
    </row>
    <row r="553" ht="12.75" customHeight="1">
      <c r="D553" s="217"/>
      <c r="E553" s="217"/>
      <c r="F553" s="217"/>
      <c r="G553" s="217"/>
      <c r="H553" s="217"/>
    </row>
    <row r="554" ht="12.75" customHeight="1">
      <c r="D554" s="217"/>
      <c r="E554" s="217"/>
      <c r="F554" s="217"/>
      <c r="G554" s="217"/>
      <c r="H554" s="217"/>
    </row>
    <row r="555" ht="12.75" customHeight="1">
      <c r="D555" s="217"/>
      <c r="E555" s="217"/>
      <c r="F555" s="217"/>
      <c r="G555" s="217"/>
      <c r="H555" s="217"/>
    </row>
    <row r="556" ht="12.75" customHeight="1">
      <c r="D556" s="217"/>
      <c r="E556" s="217"/>
      <c r="F556" s="217"/>
      <c r="G556" s="217"/>
      <c r="H556" s="217"/>
    </row>
    <row r="557" ht="12.75" customHeight="1">
      <c r="D557" s="217"/>
      <c r="E557" s="217"/>
      <c r="F557" s="217"/>
      <c r="G557" s="217"/>
      <c r="H557" s="217"/>
    </row>
    <row r="558" ht="12.75" customHeight="1">
      <c r="D558" s="217"/>
      <c r="E558" s="217"/>
      <c r="F558" s="217"/>
      <c r="G558" s="217"/>
      <c r="H558" s="217"/>
    </row>
    <row r="559" ht="12.75" customHeight="1">
      <c r="D559" s="217"/>
      <c r="E559" s="217"/>
      <c r="F559" s="217"/>
      <c r="G559" s="217"/>
      <c r="H559" s="217"/>
    </row>
    <row r="560" ht="12.75" customHeight="1">
      <c r="D560" s="217"/>
      <c r="E560" s="217"/>
      <c r="F560" s="217"/>
      <c r="G560" s="217"/>
      <c r="H560" s="217"/>
    </row>
    <row r="561" ht="12.75" customHeight="1">
      <c r="D561" s="217"/>
      <c r="E561" s="217"/>
      <c r="F561" s="217"/>
      <c r="G561" s="217"/>
      <c r="H561" s="217"/>
    </row>
    <row r="562" ht="12.75" customHeight="1">
      <c r="D562" s="217"/>
      <c r="E562" s="217"/>
      <c r="F562" s="217"/>
      <c r="G562" s="217"/>
      <c r="H562" s="217"/>
    </row>
    <row r="563" ht="12.75" customHeight="1">
      <c r="D563" s="217"/>
      <c r="E563" s="217"/>
      <c r="F563" s="217"/>
      <c r="G563" s="217"/>
      <c r="H563" s="217"/>
    </row>
    <row r="564" ht="12.75" customHeight="1">
      <c r="D564" s="217"/>
      <c r="E564" s="217"/>
      <c r="F564" s="217"/>
      <c r="G564" s="217"/>
      <c r="H564" s="217"/>
    </row>
    <row r="565" ht="12.75" customHeight="1">
      <c r="D565" s="217"/>
      <c r="E565" s="217"/>
      <c r="F565" s="217"/>
      <c r="G565" s="217"/>
      <c r="H565" s="217"/>
    </row>
    <row r="566" ht="12.75" customHeight="1">
      <c r="D566" s="217"/>
      <c r="E566" s="217"/>
      <c r="F566" s="217"/>
      <c r="G566" s="217"/>
      <c r="H566" s="217"/>
    </row>
    <row r="567" ht="12.75" customHeight="1">
      <c r="D567" s="217"/>
      <c r="E567" s="217"/>
      <c r="F567" s="217"/>
      <c r="G567" s="217"/>
      <c r="H567" s="217"/>
    </row>
    <row r="568" ht="12.75" customHeight="1">
      <c r="D568" s="217"/>
      <c r="E568" s="217"/>
      <c r="F568" s="217"/>
      <c r="G568" s="217"/>
      <c r="H568" s="217"/>
    </row>
    <row r="569" ht="12.75" customHeight="1">
      <c r="D569" s="217"/>
      <c r="E569" s="217"/>
      <c r="F569" s="217"/>
      <c r="G569" s="217"/>
      <c r="H569" s="217"/>
    </row>
    <row r="570" ht="12.75" customHeight="1">
      <c r="D570" s="217"/>
      <c r="E570" s="217"/>
      <c r="F570" s="217"/>
      <c r="G570" s="217"/>
      <c r="H570" s="217"/>
    </row>
    <row r="571" ht="12.75" customHeight="1">
      <c r="D571" s="217"/>
      <c r="E571" s="217"/>
      <c r="F571" s="217"/>
      <c r="G571" s="217"/>
      <c r="H571" s="217"/>
    </row>
    <row r="572" ht="12.75" customHeight="1">
      <c r="D572" s="217"/>
      <c r="E572" s="217"/>
      <c r="F572" s="217"/>
      <c r="G572" s="217"/>
      <c r="H572" s="217"/>
    </row>
    <row r="573" ht="12.75" customHeight="1">
      <c r="D573" s="217"/>
      <c r="E573" s="217"/>
      <c r="F573" s="217"/>
      <c r="G573" s="217"/>
      <c r="H573" s="217"/>
    </row>
    <row r="574" ht="12.75" customHeight="1">
      <c r="D574" s="217"/>
      <c r="E574" s="217"/>
      <c r="F574" s="217"/>
      <c r="G574" s="217"/>
      <c r="H574" s="217"/>
    </row>
    <row r="575" ht="12.75" customHeight="1">
      <c r="D575" s="217"/>
      <c r="E575" s="217"/>
      <c r="F575" s="217"/>
      <c r="G575" s="217"/>
      <c r="H575" s="217"/>
    </row>
    <row r="576" ht="12.75" customHeight="1">
      <c r="D576" s="217"/>
      <c r="E576" s="217"/>
      <c r="F576" s="217"/>
      <c r="G576" s="217"/>
      <c r="H576" s="217"/>
    </row>
    <row r="577" ht="12.75" customHeight="1">
      <c r="D577" s="217"/>
      <c r="E577" s="217"/>
      <c r="F577" s="217"/>
      <c r="G577" s="217"/>
      <c r="H577" s="217"/>
    </row>
    <row r="578" ht="12.75" customHeight="1">
      <c r="D578" s="217"/>
      <c r="E578" s="217"/>
      <c r="F578" s="217"/>
      <c r="G578" s="217"/>
      <c r="H578" s="217"/>
    </row>
    <row r="579" ht="12.75" customHeight="1">
      <c r="D579" s="217"/>
      <c r="E579" s="217"/>
      <c r="F579" s="217"/>
      <c r="G579" s="217"/>
      <c r="H579" s="217"/>
    </row>
    <row r="580" ht="12.75" customHeight="1">
      <c r="D580" s="217"/>
      <c r="E580" s="217"/>
      <c r="F580" s="217"/>
      <c r="G580" s="217"/>
      <c r="H580" s="217"/>
    </row>
    <row r="581" ht="12.75" customHeight="1">
      <c r="D581" s="217"/>
      <c r="E581" s="217"/>
      <c r="F581" s="217"/>
      <c r="G581" s="217"/>
      <c r="H581" s="217"/>
    </row>
    <row r="582" ht="12.75" customHeight="1">
      <c r="D582" s="217"/>
      <c r="E582" s="217"/>
      <c r="F582" s="217"/>
      <c r="G582" s="217"/>
      <c r="H582" s="217"/>
    </row>
    <row r="583" ht="12.75" customHeight="1">
      <c r="D583" s="217"/>
      <c r="E583" s="217"/>
      <c r="F583" s="217"/>
      <c r="G583" s="217"/>
      <c r="H583" s="217"/>
    </row>
    <row r="584" ht="12.75" customHeight="1">
      <c r="D584" s="217"/>
      <c r="E584" s="217"/>
      <c r="F584" s="217"/>
      <c r="G584" s="217"/>
      <c r="H584" s="217"/>
    </row>
    <row r="585" ht="12.75" customHeight="1">
      <c r="D585" s="217"/>
      <c r="E585" s="217"/>
      <c r="F585" s="217"/>
      <c r="G585" s="217"/>
      <c r="H585" s="217"/>
    </row>
    <row r="586" ht="12.75" customHeight="1">
      <c r="D586" s="217"/>
      <c r="E586" s="217"/>
      <c r="F586" s="217"/>
      <c r="G586" s="217"/>
      <c r="H586" s="217"/>
    </row>
    <row r="587" ht="12.75" customHeight="1">
      <c r="D587" s="217"/>
      <c r="E587" s="217"/>
      <c r="F587" s="217"/>
      <c r="G587" s="217"/>
      <c r="H587" s="217"/>
    </row>
    <row r="588" ht="12.75" customHeight="1">
      <c r="D588" s="217"/>
      <c r="E588" s="217"/>
      <c r="F588" s="217"/>
      <c r="G588" s="217"/>
      <c r="H588" s="217"/>
    </row>
    <row r="589" ht="12.75" customHeight="1">
      <c r="D589" s="217"/>
      <c r="E589" s="217"/>
      <c r="F589" s="217"/>
      <c r="G589" s="217"/>
      <c r="H589" s="217"/>
    </row>
    <row r="590" ht="12.75" customHeight="1">
      <c r="D590" s="217"/>
      <c r="E590" s="217"/>
      <c r="F590" s="217"/>
      <c r="G590" s="217"/>
      <c r="H590" s="217"/>
    </row>
    <row r="591" ht="12.75" customHeight="1">
      <c r="D591" s="217"/>
      <c r="E591" s="217"/>
      <c r="F591" s="217"/>
      <c r="G591" s="217"/>
      <c r="H591" s="217"/>
    </row>
    <row r="592" ht="12.75" customHeight="1">
      <c r="D592" s="217"/>
      <c r="E592" s="217"/>
      <c r="F592" s="217"/>
      <c r="G592" s="217"/>
      <c r="H592" s="217"/>
    </row>
    <row r="593" ht="12.75" customHeight="1">
      <c r="D593" s="217"/>
      <c r="E593" s="217"/>
      <c r="F593" s="217"/>
      <c r="G593" s="217"/>
      <c r="H593" s="217"/>
    </row>
    <row r="594" ht="12.75" customHeight="1">
      <c r="D594" s="217"/>
      <c r="E594" s="217"/>
      <c r="F594" s="217"/>
      <c r="G594" s="217"/>
      <c r="H594" s="217"/>
    </row>
    <row r="595" ht="12.75" customHeight="1">
      <c r="D595" s="217"/>
      <c r="E595" s="217"/>
      <c r="F595" s="217"/>
      <c r="G595" s="217"/>
      <c r="H595" s="217"/>
    </row>
    <row r="596" ht="12.75" customHeight="1">
      <c r="D596" s="217"/>
      <c r="E596" s="217"/>
      <c r="F596" s="217"/>
      <c r="G596" s="217"/>
      <c r="H596" s="217"/>
    </row>
    <row r="597" ht="12.75" customHeight="1">
      <c r="D597" s="217"/>
      <c r="E597" s="217"/>
      <c r="F597" s="217"/>
      <c r="G597" s="217"/>
      <c r="H597" s="217"/>
    </row>
    <row r="598" ht="12.75" customHeight="1">
      <c r="D598" s="217"/>
      <c r="E598" s="217"/>
      <c r="F598" s="217"/>
      <c r="G598" s="217"/>
      <c r="H598" s="217"/>
    </row>
    <row r="599" ht="12.75" customHeight="1">
      <c r="D599" s="217"/>
      <c r="E599" s="217"/>
      <c r="F599" s="217"/>
      <c r="G599" s="217"/>
      <c r="H599" s="217"/>
    </row>
    <row r="600" ht="12.75" customHeight="1">
      <c r="D600" s="217"/>
      <c r="E600" s="217"/>
      <c r="F600" s="217"/>
      <c r="G600" s="217"/>
      <c r="H600" s="217"/>
    </row>
    <row r="601" ht="12.75" customHeight="1">
      <c r="D601" s="217"/>
      <c r="E601" s="217"/>
      <c r="F601" s="217"/>
      <c r="G601" s="217"/>
      <c r="H601" s="217"/>
    </row>
    <row r="602" ht="12.75" customHeight="1">
      <c r="D602" s="217"/>
      <c r="E602" s="217"/>
      <c r="F602" s="217"/>
      <c r="G602" s="217"/>
      <c r="H602" s="217"/>
    </row>
    <row r="603" ht="12.75" customHeight="1">
      <c r="D603" s="217"/>
      <c r="E603" s="217"/>
      <c r="F603" s="217"/>
      <c r="G603" s="217"/>
      <c r="H603" s="217"/>
    </row>
    <row r="604" ht="12.75" customHeight="1">
      <c r="D604" s="217"/>
      <c r="E604" s="217"/>
      <c r="F604" s="217"/>
      <c r="G604" s="217"/>
      <c r="H604" s="217"/>
    </row>
    <row r="605" ht="12.75" customHeight="1">
      <c r="D605" s="217"/>
      <c r="E605" s="217"/>
      <c r="F605" s="217"/>
      <c r="G605" s="217"/>
      <c r="H605" s="217"/>
    </row>
    <row r="606" ht="12.75" customHeight="1">
      <c r="D606" s="217"/>
      <c r="E606" s="217"/>
      <c r="F606" s="217"/>
      <c r="G606" s="217"/>
      <c r="H606" s="217"/>
    </row>
    <row r="607" ht="12.75" customHeight="1">
      <c r="D607" s="217"/>
      <c r="E607" s="217"/>
      <c r="F607" s="217"/>
      <c r="G607" s="217"/>
      <c r="H607" s="217"/>
    </row>
    <row r="608" ht="12.75" customHeight="1">
      <c r="D608" s="217"/>
      <c r="E608" s="217"/>
      <c r="F608" s="217"/>
      <c r="G608" s="217"/>
      <c r="H608" s="217"/>
    </row>
    <row r="609" ht="12.75" customHeight="1">
      <c r="D609" s="217"/>
      <c r="E609" s="217"/>
      <c r="F609" s="217"/>
      <c r="G609" s="217"/>
      <c r="H609" s="217"/>
    </row>
    <row r="610" ht="12.75" customHeight="1">
      <c r="D610" s="217"/>
      <c r="E610" s="217"/>
      <c r="F610" s="217"/>
      <c r="G610" s="217"/>
      <c r="H610" s="217"/>
    </row>
    <row r="611" ht="12.75" customHeight="1">
      <c r="D611" s="217"/>
      <c r="E611" s="217"/>
      <c r="F611" s="217"/>
      <c r="G611" s="217"/>
      <c r="H611" s="217"/>
    </row>
    <row r="612" ht="12.75" customHeight="1">
      <c r="D612" s="217"/>
      <c r="E612" s="217"/>
      <c r="F612" s="217"/>
      <c r="G612" s="217"/>
      <c r="H612" s="217"/>
    </row>
    <row r="613" ht="12.75" customHeight="1">
      <c r="D613" s="217"/>
      <c r="E613" s="217"/>
      <c r="F613" s="217"/>
      <c r="G613" s="217"/>
      <c r="H613" s="217"/>
    </row>
    <row r="614" ht="12.75" customHeight="1">
      <c r="D614" s="217"/>
      <c r="E614" s="217"/>
      <c r="F614" s="217"/>
      <c r="G614" s="217"/>
      <c r="H614" s="217"/>
    </row>
    <row r="615" ht="12.75" customHeight="1">
      <c r="D615" s="217"/>
      <c r="E615" s="217"/>
      <c r="F615" s="217"/>
      <c r="G615" s="217"/>
      <c r="H615" s="217"/>
    </row>
    <row r="616" ht="12.75" customHeight="1">
      <c r="D616" s="217"/>
      <c r="E616" s="217"/>
      <c r="F616" s="217"/>
      <c r="G616" s="217"/>
      <c r="H616" s="217"/>
    </row>
    <row r="617" ht="12.75" customHeight="1">
      <c r="D617" s="217"/>
      <c r="E617" s="217"/>
      <c r="F617" s="217"/>
      <c r="G617" s="217"/>
      <c r="H617" s="217"/>
    </row>
    <row r="618" ht="12.75" customHeight="1">
      <c r="D618" s="217"/>
      <c r="E618" s="217"/>
      <c r="F618" s="217"/>
      <c r="G618" s="217"/>
      <c r="H618" s="217"/>
    </row>
    <row r="619" ht="12.75" customHeight="1">
      <c r="D619" s="217"/>
      <c r="E619" s="217"/>
      <c r="F619" s="217"/>
      <c r="G619" s="217"/>
      <c r="H619" s="217"/>
    </row>
    <row r="620" ht="12.75" customHeight="1">
      <c r="D620" s="217"/>
      <c r="E620" s="217"/>
      <c r="F620" s="217"/>
      <c r="G620" s="217"/>
      <c r="H620" s="217"/>
    </row>
    <row r="621" ht="12.75" customHeight="1">
      <c r="D621" s="217"/>
      <c r="E621" s="217"/>
      <c r="F621" s="217"/>
      <c r="G621" s="217"/>
      <c r="H621" s="217"/>
    </row>
    <row r="622" ht="12.75" customHeight="1">
      <c r="D622" s="217"/>
      <c r="E622" s="217"/>
      <c r="F622" s="217"/>
      <c r="G622" s="217"/>
      <c r="H622" s="217"/>
    </row>
    <row r="623" ht="12.75" customHeight="1">
      <c r="D623" s="217"/>
      <c r="E623" s="217"/>
      <c r="F623" s="217"/>
      <c r="G623" s="217"/>
      <c r="H623" s="217"/>
    </row>
    <row r="624" ht="12.75" customHeight="1">
      <c r="D624" s="217"/>
      <c r="E624" s="217"/>
      <c r="F624" s="217"/>
      <c r="G624" s="217"/>
      <c r="H624" s="217"/>
    </row>
    <row r="625" ht="12.75" customHeight="1">
      <c r="D625" s="217"/>
      <c r="E625" s="217"/>
      <c r="F625" s="217"/>
      <c r="G625" s="217"/>
      <c r="H625" s="217"/>
    </row>
    <row r="626" ht="12.75" customHeight="1">
      <c r="D626" s="217"/>
      <c r="E626" s="217"/>
      <c r="F626" s="217"/>
      <c r="G626" s="217"/>
      <c r="H626" s="217"/>
    </row>
    <row r="627" ht="12.75" customHeight="1">
      <c r="D627" s="217"/>
      <c r="E627" s="217"/>
      <c r="F627" s="217"/>
      <c r="G627" s="217"/>
      <c r="H627" s="217"/>
    </row>
    <row r="628" ht="12.75" customHeight="1">
      <c r="D628" s="217"/>
      <c r="E628" s="217"/>
      <c r="F628" s="217"/>
      <c r="G628" s="217"/>
      <c r="H628" s="217"/>
    </row>
    <row r="629" ht="12.75" customHeight="1">
      <c r="D629" s="217"/>
      <c r="E629" s="217"/>
      <c r="F629" s="217"/>
      <c r="G629" s="217"/>
      <c r="H629" s="217"/>
    </row>
    <row r="630" ht="12.75" customHeight="1">
      <c r="D630" s="217"/>
      <c r="E630" s="217"/>
      <c r="F630" s="217"/>
      <c r="G630" s="217"/>
      <c r="H630" s="217"/>
    </row>
    <row r="631" ht="12.75" customHeight="1">
      <c r="D631" s="217"/>
      <c r="E631" s="217"/>
      <c r="F631" s="217"/>
      <c r="G631" s="217"/>
      <c r="H631" s="217"/>
    </row>
    <row r="632" ht="12.75" customHeight="1">
      <c r="D632" s="217"/>
      <c r="E632" s="217"/>
      <c r="F632" s="217"/>
      <c r="G632" s="217"/>
      <c r="H632" s="217"/>
    </row>
    <row r="633" ht="12.75" customHeight="1">
      <c r="D633" s="217"/>
      <c r="E633" s="217"/>
      <c r="F633" s="217"/>
      <c r="G633" s="217"/>
      <c r="H633" s="217"/>
    </row>
    <row r="634" ht="12.75" customHeight="1">
      <c r="D634" s="217"/>
      <c r="E634" s="217"/>
      <c r="F634" s="217"/>
      <c r="G634" s="217"/>
      <c r="H634" s="217"/>
    </row>
    <row r="635" ht="12.75" customHeight="1">
      <c r="D635" s="217"/>
      <c r="E635" s="217"/>
      <c r="F635" s="217"/>
      <c r="G635" s="217"/>
      <c r="H635" s="217"/>
    </row>
    <row r="636" ht="12.75" customHeight="1">
      <c r="D636" s="217"/>
      <c r="E636" s="217"/>
      <c r="F636" s="217"/>
      <c r="G636" s="217"/>
      <c r="H636" s="217"/>
    </row>
    <row r="637" ht="12.75" customHeight="1">
      <c r="D637" s="217"/>
      <c r="E637" s="217"/>
      <c r="F637" s="217"/>
      <c r="G637" s="217"/>
      <c r="H637" s="217"/>
    </row>
    <row r="638" ht="12.75" customHeight="1">
      <c r="D638" s="217"/>
      <c r="E638" s="217"/>
      <c r="F638" s="217"/>
      <c r="G638" s="217"/>
      <c r="H638" s="217"/>
    </row>
    <row r="639" ht="12.75" customHeight="1">
      <c r="D639" s="217"/>
      <c r="E639" s="217"/>
      <c r="F639" s="217"/>
      <c r="G639" s="217"/>
      <c r="H639" s="217"/>
    </row>
    <row r="640" ht="12.75" customHeight="1">
      <c r="D640" s="217"/>
      <c r="E640" s="217"/>
      <c r="F640" s="217"/>
      <c r="G640" s="217"/>
      <c r="H640" s="217"/>
    </row>
    <row r="641" ht="12.75" customHeight="1">
      <c r="D641" s="217"/>
      <c r="E641" s="217"/>
      <c r="F641" s="217"/>
      <c r="G641" s="217"/>
      <c r="H641" s="217"/>
    </row>
    <row r="642" ht="12.75" customHeight="1">
      <c r="D642" s="217"/>
      <c r="E642" s="217"/>
      <c r="F642" s="217"/>
      <c r="G642" s="217"/>
      <c r="H642" s="217"/>
    </row>
    <row r="643" ht="12.75" customHeight="1">
      <c r="D643" s="217"/>
      <c r="E643" s="217"/>
      <c r="F643" s="217"/>
      <c r="G643" s="217"/>
      <c r="H643" s="217"/>
    </row>
    <row r="644" ht="12.75" customHeight="1">
      <c r="D644" s="217"/>
      <c r="E644" s="217"/>
      <c r="F644" s="217"/>
      <c r="G644" s="217"/>
      <c r="H644" s="217"/>
    </row>
    <row r="645" ht="12.75" customHeight="1">
      <c r="D645" s="217"/>
      <c r="E645" s="217"/>
      <c r="F645" s="217"/>
      <c r="G645" s="217"/>
      <c r="H645" s="217"/>
    </row>
    <row r="646" ht="12.75" customHeight="1">
      <c r="D646" s="217"/>
      <c r="E646" s="217"/>
      <c r="F646" s="217"/>
      <c r="G646" s="217"/>
      <c r="H646" s="217"/>
    </row>
    <row r="647" ht="12.75" customHeight="1">
      <c r="D647" s="217"/>
      <c r="E647" s="217"/>
      <c r="F647" s="217"/>
      <c r="G647" s="217"/>
      <c r="H647" s="217"/>
    </row>
    <row r="648" ht="12.75" customHeight="1">
      <c r="D648" s="217"/>
      <c r="E648" s="217"/>
      <c r="F648" s="217"/>
      <c r="G648" s="217"/>
      <c r="H648" s="217"/>
    </row>
    <row r="649" ht="12.75" customHeight="1">
      <c r="D649" s="217"/>
      <c r="E649" s="217"/>
      <c r="F649" s="217"/>
      <c r="G649" s="217"/>
      <c r="H649" s="217"/>
    </row>
    <row r="650" ht="12.75" customHeight="1">
      <c r="D650" s="217"/>
      <c r="E650" s="217"/>
      <c r="F650" s="217"/>
      <c r="G650" s="217"/>
      <c r="H650" s="217"/>
    </row>
    <row r="651" ht="12.75" customHeight="1">
      <c r="D651" s="217"/>
      <c r="E651" s="217"/>
      <c r="F651" s="217"/>
      <c r="G651" s="217"/>
      <c r="H651" s="217"/>
    </row>
    <row r="652" ht="12.75" customHeight="1">
      <c r="D652" s="217"/>
      <c r="E652" s="217"/>
      <c r="F652" s="217"/>
      <c r="G652" s="217"/>
      <c r="H652" s="217"/>
    </row>
    <row r="653" ht="12.75" customHeight="1">
      <c r="D653" s="217"/>
      <c r="E653" s="217"/>
      <c r="F653" s="217"/>
      <c r="G653" s="217"/>
      <c r="H653" s="217"/>
    </row>
    <row r="654" ht="12.75" customHeight="1">
      <c r="D654" s="217"/>
      <c r="E654" s="217"/>
      <c r="F654" s="217"/>
      <c r="G654" s="217"/>
      <c r="H654" s="217"/>
    </row>
    <row r="655" ht="12.75" customHeight="1">
      <c r="D655" s="217"/>
      <c r="E655" s="217"/>
      <c r="F655" s="217"/>
      <c r="G655" s="217"/>
      <c r="H655" s="217"/>
    </row>
    <row r="656" ht="12.75" customHeight="1">
      <c r="D656" s="217"/>
      <c r="E656" s="217"/>
      <c r="F656" s="217"/>
      <c r="G656" s="217"/>
      <c r="H656" s="217"/>
    </row>
    <row r="657" ht="12.75" customHeight="1">
      <c r="D657" s="217"/>
      <c r="E657" s="217"/>
      <c r="F657" s="217"/>
      <c r="G657" s="217"/>
      <c r="H657" s="217"/>
    </row>
    <row r="658" ht="12.75" customHeight="1">
      <c r="D658" s="217"/>
      <c r="E658" s="217"/>
      <c r="F658" s="217"/>
      <c r="G658" s="217"/>
      <c r="H658" s="217"/>
    </row>
    <row r="659" ht="12.75" customHeight="1">
      <c r="D659" s="217"/>
      <c r="E659" s="217"/>
      <c r="F659" s="217"/>
      <c r="G659" s="217"/>
      <c r="H659" s="217"/>
    </row>
    <row r="660" ht="12.75" customHeight="1">
      <c r="D660" s="217"/>
      <c r="E660" s="217"/>
      <c r="F660" s="217"/>
      <c r="G660" s="217"/>
      <c r="H660" s="217"/>
    </row>
    <row r="661" ht="12.75" customHeight="1">
      <c r="D661" s="217"/>
      <c r="E661" s="217"/>
      <c r="F661" s="217"/>
      <c r="G661" s="217"/>
      <c r="H661" s="217"/>
    </row>
    <row r="662" ht="12.75" customHeight="1">
      <c r="D662" s="217"/>
      <c r="E662" s="217"/>
      <c r="F662" s="217"/>
      <c r="G662" s="217"/>
      <c r="H662" s="217"/>
    </row>
    <row r="663" ht="12.75" customHeight="1">
      <c r="D663" s="217"/>
      <c r="E663" s="217"/>
      <c r="F663" s="217"/>
      <c r="G663" s="217"/>
      <c r="H663" s="217"/>
    </row>
    <row r="664" ht="12.75" customHeight="1">
      <c r="D664" s="217"/>
      <c r="E664" s="217"/>
      <c r="F664" s="217"/>
      <c r="G664" s="217"/>
      <c r="H664" s="217"/>
    </row>
    <row r="665" ht="12.75" customHeight="1">
      <c r="D665" s="217"/>
      <c r="E665" s="217"/>
      <c r="F665" s="217"/>
      <c r="G665" s="217"/>
      <c r="H665" s="217"/>
    </row>
    <row r="666" ht="12.75" customHeight="1">
      <c r="D666" s="217"/>
      <c r="E666" s="217"/>
      <c r="F666" s="217"/>
      <c r="G666" s="217"/>
      <c r="H666" s="217"/>
    </row>
    <row r="667" ht="12.75" customHeight="1">
      <c r="D667" s="217"/>
      <c r="E667" s="217"/>
      <c r="F667" s="217"/>
      <c r="G667" s="217"/>
      <c r="H667" s="217"/>
    </row>
    <row r="668" ht="12.75" customHeight="1">
      <c r="D668" s="217"/>
      <c r="E668" s="217"/>
      <c r="F668" s="217"/>
      <c r="G668" s="217"/>
      <c r="H668" s="217"/>
    </row>
    <row r="669" ht="12.75" customHeight="1">
      <c r="D669" s="217"/>
      <c r="E669" s="217"/>
      <c r="F669" s="217"/>
      <c r="G669" s="217"/>
      <c r="H669" s="217"/>
    </row>
    <row r="670" ht="12.75" customHeight="1">
      <c r="D670" s="217"/>
      <c r="E670" s="217"/>
      <c r="F670" s="217"/>
      <c r="G670" s="217"/>
      <c r="H670" s="217"/>
    </row>
    <row r="671" ht="12.75" customHeight="1">
      <c r="D671" s="217"/>
      <c r="E671" s="217"/>
      <c r="F671" s="217"/>
      <c r="G671" s="217"/>
      <c r="H671" s="217"/>
    </row>
    <row r="672" ht="12.75" customHeight="1">
      <c r="D672" s="217"/>
      <c r="E672" s="217"/>
      <c r="F672" s="217"/>
      <c r="G672" s="217"/>
      <c r="H672" s="217"/>
    </row>
    <row r="673" ht="12.75" customHeight="1">
      <c r="D673" s="217"/>
      <c r="E673" s="217"/>
      <c r="F673" s="217"/>
      <c r="G673" s="217"/>
      <c r="H673" s="217"/>
    </row>
    <row r="674" ht="12.75" customHeight="1">
      <c r="D674" s="217"/>
      <c r="E674" s="217"/>
      <c r="F674" s="217"/>
      <c r="G674" s="217"/>
      <c r="H674" s="217"/>
    </row>
    <row r="675" ht="12.75" customHeight="1">
      <c r="D675" s="217"/>
      <c r="E675" s="217"/>
      <c r="F675" s="217"/>
      <c r="G675" s="217"/>
      <c r="H675" s="217"/>
    </row>
    <row r="676" ht="12.75" customHeight="1">
      <c r="D676" s="217"/>
      <c r="E676" s="217"/>
      <c r="F676" s="217"/>
      <c r="G676" s="217"/>
      <c r="H676" s="217"/>
    </row>
    <row r="677" ht="12.75" customHeight="1">
      <c r="D677" s="217"/>
      <c r="E677" s="217"/>
      <c r="F677" s="217"/>
      <c r="G677" s="217"/>
      <c r="H677" s="217"/>
    </row>
    <row r="678" ht="12.75" customHeight="1">
      <c r="D678" s="217"/>
      <c r="E678" s="217"/>
      <c r="F678" s="217"/>
      <c r="G678" s="217"/>
      <c r="H678" s="217"/>
    </row>
    <row r="679" ht="12.75" customHeight="1">
      <c r="D679" s="217"/>
      <c r="E679" s="217"/>
      <c r="F679" s="217"/>
      <c r="G679" s="217"/>
      <c r="H679" s="217"/>
    </row>
    <row r="680" ht="12.75" customHeight="1">
      <c r="D680" s="217"/>
      <c r="E680" s="217"/>
      <c r="F680" s="217"/>
      <c r="G680" s="217"/>
      <c r="H680" s="217"/>
    </row>
    <row r="681" ht="12.75" customHeight="1">
      <c r="D681" s="217"/>
      <c r="E681" s="217"/>
      <c r="F681" s="217"/>
      <c r="G681" s="217"/>
      <c r="H681" s="217"/>
    </row>
    <row r="682" ht="12.75" customHeight="1">
      <c r="D682" s="217"/>
      <c r="E682" s="217"/>
      <c r="F682" s="217"/>
      <c r="G682" s="217"/>
      <c r="H682" s="217"/>
    </row>
    <row r="683" ht="12.75" customHeight="1">
      <c r="D683" s="217"/>
      <c r="E683" s="217"/>
      <c r="F683" s="217"/>
      <c r="G683" s="217"/>
      <c r="H683" s="217"/>
    </row>
    <row r="684" ht="12.75" customHeight="1">
      <c r="D684" s="217"/>
      <c r="E684" s="217"/>
      <c r="F684" s="217"/>
      <c r="G684" s="217"/>
      <c r="H684" s="217"/>
    </row>
    <row r="685" ht="12.75" customHeight="1">
      <c r="D685" s="217"/>
      <c r="E685" s="217"/>
      <c r="F685" s="217"/>
      <c r="G685" s="217"/>
      <c r="H685" s="217"/>
    </row>
    <row r="686" ht="12.75" customHeight="1">
      <c r="D686" s="217"/>
      <c r="E686" s="217"/>
      <c r="F686" s="217"/>
      <c r="G686" s="217"/>
      <c r="H686" s="217"/>
    </row>
    <row r="687" ht="12.75" customHeight="1">
      <c r="D687" s="217"/>
      <c r="E687" s="217"/>
      <c r="F687" s="217"/>
      <c r="G687" s="217"/>
      <c r="H687" s="217"/>
    </row>
    <row r="688" ht="12.75" customHeight="1">
      <c r="D688" s="217"/>
      <c r="E688" s="217"/>
      <c r="F688" s="217"/>
      <c r="G688" s="217"/>
      <c r="H688" s="217"/>
    </row>
    <row r="689" ht="12.75" customHeight="1">
      <c r="D689" s="217"/>
      <c r="E689" s="217"/>
      <c r="F689" s="217"/>
      <c r="G689" s="217"/>
      <c r="H689" s="217"/>
    </row>
    <row r="690" ht="12.75" customHeight="1">
      <c r="D690" s="217"/>
      <c r="E690" s="217"/>
      <c r="F690" s="217"/>
      <c r="G690" s="217"/>
      <c r="H690" s="217"/>
    </row>
    <row r="691" ht="12.75" customHeight="1">
      <c r="D691" s="217"/>
      <c r="E691" s="217"/>
      <c r="F691" s="217"/>
      <c r="G691" s="217"/>
      <c r="H691" s="217"/>
    </row>
    <row r="692" ht="12.75" customHeight="1">
      <c r="D692" s="217"/>
      <c r="E692" s="217"/>
      <c r="F692" s="217"/>
      <c r="G692" s="217"/>
      <c r="H692" s="217"/>
    </row>
    <row r="693" ht="12.75" customHeight="1">
      <c r="D693" s="217"/>
      <c r="E693" s="217"/>
      <c r="F693" s="217"/>
      <c r="G693" s="217"/>
      <c r="H693" s="217"/>
    </row>
    <row r="694" ht="12.75" customHeight="1">
      <c r="D694" s="217"/>
      <c r="E694" s="217"/>
      <c r="F694" s="217"/>
      <c r="G694" s="217"/>
      <c r="H694" s="217"/>
    </row>
    <row r="695" ht="12.75" customHeight="1">
      <c r="D695" s="217"/>
      <c r="E695" s="217"/>
      <c r="F695" s="217"/>
      <c r="G695" s="217"/>
      <c r="H695" s="217"/>
    </row>
    <row r="696" ht="12.75" customHeight="1">
      <c r="D696" s="217"/>
      <c r="E696" s="217"/>
      <c r="F696" s="217"/>
      <c r="G696" s="217"/>
      <c r="H696" s="217"/>
    </row>
    <row r="697" ht="12.75" customHeight="1">
      <c r="D697" s="217"/>
      <c r="E697" s="217"/>
      <c r="F697" s="217"/>
      <c r="G697" s="217"/>
      <c r="H697" s="217"/>
    </row>
    <row r="698" ht="12.75" customHeight="1">
      <c r="D698" s="217"/>
      <c r="E698" s="217"/>
      <c r="F698" s="217"/>
      <c r="G698" s="217"/>
      <c r="H698" s="217"/>
    </row>
    <row r="699" ht="12.75" customHeight="1">
      <c r="D699" s="217"/>
      <c r="E699" s="217"/>
      <c r="F699" s="217"/>
      <c r="G699" s="217"/>
      <c r="H699" s="217"/>
    </row>
    <row r="700" ht="12.75" customHeight="1">
      <c r="D700" s="217"/>
      <c r="E700" s="217"/>
      <c r="F700" s="217"/>
      <c r="G700" s="217"/>
      <c r="H700" s="217"/>
    </row>
    <row r="701" ht="12.75" customHeight="1">
      <c r="D701" s="217"/>
      <c r="E701" s="217"/>
      <c r="F701" s="217"/>
      <c r="G701" s="217"/>
      <c r="H701" s="217"/>
    </row>
    <row r="702" ht="12.75" customHeight="1">
      <c r="D702" s="217"/>
      <c r="E702" s="217"/>
      <c r="F702" s="217"/>
      <c r="G702" s="217"/>
      <c r="H702" s="217"/>
    </row>
    <row r="703" ht="12.75" customHeight="1">
      <c r="D703" s="217"/>
      <c r="E703" s="217"/>
      <c r="F703" s="217"/>
      <c r="G703" s="217"/>
      <c r="H703" s="217"/>
    </row>
    <row r="704" ht="12.75" customHeight="1">
      <c r="D704" s="217"/>
      <c r="E704" s="217"/>
      <c r="F704" s="217"/>
      <c r="G704" s="217"/>
      <c r="H704" s="217"/>
    </row>
    <row r="705" ht="12.75" customHeight="1">
      <c r="D705" s="217"/>
      <c r="E705" s="217"/>
      <c r="F705" s="217"/>
      <c r="G705" s="217"/>
      <c r="H705" s="217"/>
    </row>
    <row r="706" ht="12.75" customHeight="1">
      <c r="D706" s="217"/>
      <c r="E706" s="217"/>
      <c r="F706" s="217"/>
      <c r="G706" s="217"/>
      <c r="H706" s="217"/>
    </row>
    <row r="707" ht="12.75" customHeight="1">
      <c r="D707" s="217"/>
      <c r="E707" s="217"/>
      <c r="F707" s="217"/>
      <c r="G707" s="217"/>
      <c r="H707" s="217"/>
    </row>
    <row r="708" ht="12.75" customHeight="1">
      <c r="D708" s="217"/>
      <c r="E708" s="217"/>
      <c r="F708" s="217"/>
      <c r="G708" s="217"/>
      <c r="H708" s="217"/>
    </row>
    <row r="709" ht="12.75" customHeight="1">
      <c r="D709" s="217"/>
      <c r="E709" s="217"/>
      <c r="F709" s="217"/>
      <c r="G709" s="217"/>
      <c r="H709" s="217"/>
    </row>
    <row r="710" ht="12.75" customHeight="1">
      <c r="D710" s="217"/>
      <c r="E710" s="217"/>
      <c r="F710" s="217"/>
      <c r="G710" s="217"/>
      <c r="H710" s="217"/>
    </row>
    <row r="711" ht="12.75" customHeight="1">
      <c r="D711" s="217"/>
      <c r="E711" s="217"/>
      <c r="F711" s="217"/>
      <c r="G711" s="217"/>
      <c r="H711" s="217"/>
    </row>
    <row r="712" ht="12.75" customHeight="1">
      <c r="D712" s="217"/>
      <c r="E712" s="217"/>
      <c r="F712" s="217"/>
      <c r="G712" s="217"/>
      <c r="H712" s="217"/>
    </row>
    <row r="713" ht="12.75" customHeight="1">
      <c r="D713" s="217"/>
      <c r="E713" s="217"/>
      <c r="F713" s="217"/>
      <c r="G713" s="217"/>
      <c r="H713" s="217"/>
    </row>
    <row r="714" ht="12.75" customHeight="1">
      <c r="D714" s="217"/>
      <c r="E714" s="217"/>
      <c r="F714" s="217"/>
      <c r="G714" s="217"/>
      <c r="H714" s="217"/>
    </row>
    <row r="715" ht="12.75" customHeight="1">
      <c r="D715" s="217"/>
      <c r="E715" s="217"/>
      <c r="F715" s="217"/>
      <c r="G715" s="217"/>
      <c r="H715" s="217"/>
    </row>
    <row r="716" ht="12.75" customHeight="1">
      <c r="D716" s="217"/>
      <c r="E716" s="217"/>
      <c r="F716" s="217"/>
      <c r="G716" s="217"/>
      <c r="H716" s="217"/>
    </row>
    <row r="717" ht="12.75" customHeight="1">
      <c r="D717" s="217"/>
      <c r="E717" s="217"/>
      <c r="F717" s="217"/>
      <c r="G717" s="217"/>
      <c r="H717" s="217"/>
    </row>
    <row r="718" ht="12.75" customHeight="1">
      <c r="D718" s="217"/>
      <c r="E718" s="217"/>
      <c r="F718" s="217"/>
      <c r="G718" s="217"/>
      <c r="H718" s="217"/>
    </row>
    <row r="719" ht="12.75" customHeight="1">
      <c r="D719" s="217"/>
      <c r="E719" s="217"/>
      <c r="F719" s="217"/>
      <c r="G719" s="217"/>
      <c r="H719" s="217"/>
    </row>
    <row r="720" ht="12.75" customHeight="1">
      <c r="D720" s="217"/>
      <c r="E720" s="217"/>
      <c r="F720" s="217"/>
      <c r="G720" s="217"/>
      <c r="H720" s="217"/>
    </row>
    <row r="721" ht="12.75" customHeight="1">
      <c r="D721" s="217"/>
      <c r="E721" s="217"/>
      <c r="F721" s="217"/>
      <c r="G721" s="217"/>
      <c r="H721" s="217"/>
    </row>
    <row r="722" ht="12.75" customHeight="1">
      <c r="D722" s="217"/>
      <c r="E722" s="217"/>
      <c r="F722" s="217"/>
      <c r="G722" s="217"/>
      <c r="H722" s="217"/>
    </row>
    <row r="723" ht="12.75" customHeight="1">
      <c r="D723" s="217"/>
      <c r="E723" s="217"/>
      <c r="F723" s="217"/>
      <c r="G723" s="217"/>
      <c r="H723" s="217"/>
    </row>
    <row r="724" ht="12.75" customHeight="1">
      <c r="D724" s="217"/>
      <c r="E724" s="217"/>
      <c r="F724" s="217"/>
      <c r="G724" s="217"/>
      <c r="H724" s="217"/>
    </row>
    <row r="725" ht="12.75" customHeight="1">
      <c r="D725" s="217"/>
      <c r="E725" s="217"/>
      <c r="F725" s="217"/>
      <c r="G725" s="217"/>
      <c r="H725" s="217"/>
    </row>
    <row r="726" ht="12.75" customHeight="1">
      <c r="D726" s="217"/>
      <c r="E726" s="217"/>
      <c r="F726" s="217"/>
      <c r="G726" s="217"/>
      <c r="H726" s="217"/>
    </row>
    <row r="727" ht="12.75" customHeight="1">
      <c r="D727" s="217"/>
      <c r="E727" s="217"/>
      <c r="F727" s="217"/>
      <c r="G727" s="217"/>
      <c r="H727" s="217"/>
    </row>
    <row r="728" ht="12.75" customHeight="1">
      <c r="D728" s="217"/>
      <c r="E728" s="217"/>
      <c r="F728" s="217"/>
      <c r="G728" s="217"/>
      <c r="H728" s="217"/>
    </row>
    <row r="729" ht="12.75" customHeight="1">
      <c r="D729" s="217"/>
      <c r="E729" s="217"/>
      <c r="F729" s="217"/>
      <c r="G729" s="217"/>
      <c r="H729" s="217"/>
    </row>
    <row r="730" ht="12.75" customHeight="1">
      <c r="D730" s="217"/>
      <c r="E730" s="217"/>
      <c r="F730" s="217"/>
      <c r="G730" s="217"/>
      <c r="H730" s="217"/>
    </row>
    <row r="731" ht="12.75" customHeight="1">
      <c r="D731" s="217"/>
      <c r="E731" s="217"/>
      <c r="F731" s="217"/>
      <c r="G731" s="217"/>
      <c r="H731" s="217"/>
    </row>
    <row r="732" ht="12.75" customHeight="1">
      <c r="D732" s="217"/>
      <c r="E732" s="217"/>
      <c r="F732" s="217"/>
      <c r="G732" s="217"/>
      <c r="H732" s="217"/>
    </row>
    <row r="733" ht="12.75" customHeight="1">
      <c r="D733" s="217"/>
      <c r="E733" s="217"/>
      <c r="F733" s="217"/>
      <c r="G733" s="217"/>
      <c r="H733" s="217"/>
    </row>
    <row r="734" ht="12.75" customHeight="1">
      <c r="D734" s="217"/>
      <c r="E734" s="217"/>
      <c r="F734" s="217"/>
      <c r="G734" s="217"/>
      <c r="H734" s="217"/>
    </row>
    <row r="735" ht="12.75" customHeight="1">
      <c r="D735" s="217"/>
      <c r="E735" s="217"/>
      <c r="F735" s="217"/>
      <c r="G735" s="217"/>
      <c r="H735" s="217"/>
    </row>
    <row r="736" ht="12.75" customHeight="1">
      <c r="D736" s="217"/>
      <c r="E736" s="217"/>
      <c r="F736" s="217"/>
      <c r="G736" s="217"/>
      <c r="H736" s="217"/>
    </row>
    <row r="737" ht="12.75" customHeight="1">
      <c r="D737" s="217"/>
      <c r="E737" s="217"/>
      <c r="F737" s="217"/>
      <c r="G737" s="217"/>
      <c r="H737" s="217"/>
    </row>
    <row r="738" ht="12.75" customHeight="1">
      <c r="D738" s="217"/>
      <c r="E738" s="217"/>
      <c r="F738" s="217"/>
      <c r="G738" s="217"/>
      <c r="H738" s="217"/>
    </row>
    <row r="739" ht="12.75" customHeight="1">
      <c r="D739" s="217"/>
      <c r="E739" s="217"/>
      <c r="F739" s="217"/>
      <c r="G739" s="217"/>
      <c r="H739" s="217"/>
    </row>
    <row r="740" ht="12.75" customHeight="1">
      <c r="D740" s="217"/>
      <c r="E740" s="217"/>
      <c r="F740" s="217"/>
      <c r="G740" s="217"/>
      <c r="H740" s="217"/>
    </row>
    <row r="741" ht="12.75" customHeight="1">
      <c r="D741" s="217"/>
      <c r="E741" s="217"/>
      <c r="F741" s="217"/>
      <c r="G741" s="217"/>
      <c r="H741" s="217"/>
    </row>
    <row r="742" ht="12.75" customHeight="1">
      <c r="D742" s="217"/>
      <c r="E742" s="217"/>
      <c r="F742" s="217"/>
      <c r="G742" s="217"/>
      <c r="H742" s="217"/>
    </row>
    <row r="743" ht="12.75" customHeight="1">
      <c r="D743" s="217"/>
      <c r="E743" s="217"/>
      <c r="F743" s="217"/>
      <c r="G743" s="217"/>
      <c r="H743" s="217"/>
    </row>
    <row r="744" ht="12.75" customHeight="1">
      <c r="D744" s="217"/>
      <c r="E744" s="217"/>
      <c r="F744" s="217"/>
      <c r="G744" s="217"/>
      <c r="H744" s="217"/>
    </row>
    <row r="745" ht="12.75" customHeight="1">
      <c r="D745" s="217"/>
      <c r="E745" s="217"/>
      <c r="F745" s="217"/>
      <c r="G745" s="217"/>
      <c r="H745" s="217"/>
    </row>
    <row r="746" ht="12.75" customHeight="1">
      <c r="D746" s="217"/>
      <c r="E746" s="217"/>
      <c r="F746" s="217"/>
      <c r="G746" s="217"/>
      <c r="H746" s="217"/>
    </row>
    <row r="747" ht="12.75" customHeight="1">
      <c r="D747" s="217"/>
      <c r="E747" s="217"/>
      <c r="F747" s="217"/>
      <c r="G747" s="217"/>
      <c r="H747" s="217"/>
    </row>
    <row r="748" ht="12.75" customHeight="1">
      <c r="D748" s="217"/>
      <c r="E748" s="217"/>
      <c r="F748" s="217"/>
      <c r="G748" s="217"/>
      <c r="H748" s="217"/>
    </row>
    <row r="749" ht="12.75" customHeight="1">
      <c r="D749" s="217"/>
      <c r="E749" s="217"/>
      <c r="F749" s="217"/>
      <c r="G749" s="217"/>
      <c r="H749" s="217"/>
    </row>
    <row r="750" ht="12.75" customHeight="1">
      <c r="D750" s="217"/>
      <c r="E750" s="217"/>
      <c r="F750" s="217"/>
      <c r="G750" s="217"/>
      <c r="H750" s="217"/>
    </row>
    <row r="751" ht="12.75" customHeight="1">
      <c r="D751" s="217"/>
      <c r="E751" s="217"/>
      <c r="F751" s="217"/>
      <c r="G751" s="217"/>
      <c r="H751" s="217"/>
    </row>
    <row r="752" ht="12.75" customHeight="1">
      <c r="D752" s="217"/>
      <c r="E752" s="217"/>
      <c r="F752" s="217"/>
      <c r="G752" s="217"/>
      <c r="H752" s="217"/>
    </row>
    <row r="753" ht="12.75" customHeight="1">
      <c r="D753" s="217"/>
      <c r="E753" s="217"/>
      <c r="F753" s="217"/>
      <c r="G753" s="217"/>
      <c r="H753" s="217"/>
    </row>
    <row r="754" ht="12.75" customHeight="1">
      <c r="D754" s="217"/>
      <c r="E754" s="217"/>
      <c r="F754" s="217"/>
      <c r="G754" s="217"/>
      <c r="H754" s="217"/>
    </row>
    <row r="755" ht="12.75" customHeight="1">
      <c r="D755" s="217"/>
      <c r="E755" s="217"/>
      <c r="F755" s="217"/>
      <c r="G755" s="217"/>
      <c r="H755" s="217"/>
    </row>
    <row r="756" ht="12.75" customHeight="1">
      <c r="D756" s="217"/>
      <c r="E756" s="217"/>
      <c r="F756" s="217"/>
      <c r="G756" s="217"/>
      <c r="H756" s="217"/>
    </row>
    <row r="757" ht="12.75" customHeight="1">
      <c r="D757" s="217"/>
      <c r="E757" s="217"/>
      <c r="F757" s="217"/>
      <c r="G757" s="217"/>
      <c r="H757" s="217"/>
    </row>
    <row r="758" ht="12.75" customHeight="1">
      <c r="D758" s="217"/>
      <c r="E758" s="217"/>
      <c r="F758" s="217"/>
      <c r="G758" s="217"/>
      <c r="H758" s="217"/>
    </row>
    <row r="759" ht="12.75" customHeight="1">
      <c r="D759" s="217"/>
      <c r="E759" s="217"/>
      <c r="F759" s="217"/>
      <c r="G759" s="217"/>
      <c r="H759" s="217"/>
    </row>
    <row r="760" ht="12.75" customHeight="1">
      <c r="D760" s="217"/>
      <c r="E760" s="217"/>
      <c r="F760" s="217"/>
      <c r="G760" s="217"/>
      <c r="H760" s="217"/>
    </row>
    <row r="761" ht="12.75" customHeight="1">
      <c r="D761" s="217"/>
      <c r="E761" s="217"/>
      <c r="F761" s="217"/>
      <c r="G761" s="217"/>
      <c r="H761" s="217"/>
    </row>
    <row r="762" ht="12.75" customHeight="1">
      <c r="D762" s="217"/>
      <c r="E762" s="217"/>
      <c r="F762" s="217"/>
      <c r="G762" s="217"/>
      <c r="H762" s="217"/>
    </row>
    <row r="763" ht="12.75" customHeight="1">
      <c r="D763" s="217"/>
      <c r="E763" s="217"/>
      <c r="F763" s="217"/>
      <c r="G763" s="217"/>
      <c r="H763" s="217"/>
    </row>
    <row r="764" ht="12.75" customHeight="1">
      <c r="D764" s="217"/>
      <c r="E764" s="217"/>
      <c r="F764" s="217"/>
      <c r="G764" s="217"/>
      <c r="H764" s="217"/>
    </row>
    <row r="765" ht="12.75" customHeight="1">
      <c r="D765" s="217"/>
      <c r="E765" s="217"/>
      <c r="F765" s="217"/>
      <c r="G765" s="217"/>
      <c r="H765" s="217"/>
    </row>
    <row r="766" ht="12.75" customHeight="1">
      <c r="D766" s="217"/>
      <c r="E766" s="217"/>
      <c r="F766" s="217"/>
      <c r="G766" s="217"/>
      <c r="H766" s="217"/>
    </row>
    <row r="767" ht="12.75" customHeight="1">
      <c r="D767" s="217"/>
      <c r="E767" s="217"/>
      <c r="F767" s="217"/>
      <c r="G767" s="217"/>
      <c r="H767" s="217"/>
    </row>
    <row r="768" ht="12.75" customHeight="1">
      <c r="D768" s="217"/>
      <c r="E768" s="217"/>
      <c r="F768" s="217"/>
      <c r="G768" s="217"/>
      <c r="H768" s="217"/>
    </row>
    <row r="769" ht="12.75" customHeight="1">
      <c r="D769" s="217"/>
      <c r="E769" s="217"/>
      <c r="F769" s="217"/>
      <c r="G769" s="217"/>
      <c r="H769" s="217"/>
    </row>
    <row r="770" ht="12.75" customHeight="1">
      <c r="D770" s="217"/>
      <c r="E770" s="217"/>
      <c r="F770" s="217"/>
      <c r="G770" s="217"/>
      <c r="H770" s="217"/>
    </row>
    <row r="771" ht="12.75" customHeight="1">
      <c r="D771" s="217"/>
      <c r="E771" s="217"/>
      <c r="F771" s="217"/>
      <c r="G771" s="217"/>
      <c r="H771" s="217"/>
    </row>
    <row r="772" ht="12.75" customHeight="1">
      <c r="D772" s="217"/>
      <c r="E772" s="217"/>
      <c r="F772" s="217"/>
      <c r="G772" s="217"/>
      <c r="H772" s="217"/>
    </row>
    <row r="773" ht="12.75" customHeight="1">
      <c r="D773" s="217"/>
      <c r="E773" s="217"/>
      <c r="F773" s="217"/>
      <c r="G773" s="217"/>
      <c r="H773" s="217"/>
    </row>
    <row r="774" ht="12.75" customHeight="1">
      <c r="D774" s="217"/>
      <c r="E774" s="217"/>
      <c r="F774" s="217"/>
      <c r="G774" s="217"/>
      <c r="H774" s="217"/>
    </row>
    <row r="775" ht="12.75" customHeight="1">
      <c r="D775" s="217"/>
      <c r="E775" s="217"/>
      <c r="F775" s="217"/>
      <c r="G775" s="217"/>
      <c r="H775" s="217"/>
    </row>
    <row r="776" ht="12.75" customHeight="1">
      <c r="D776" s="217"/>
      <c r="E776" s="217"/>
      <c r="F776" s="217"/>
      <c r="G776" s="217"/>
      <c r="H776" s="217"/>
    </row>
    <row r="777" ht="12.75" customHeight="1">
      <c r="D777" s="217"/>
      <c r="E777" s="217"/>
      <c r="F777" s="217"/>
      <c r="G777" s="217"/>
      <c r="H777" s="217"/>
    </row>
    <row r="778" ht="12.75" customHeight="1">
      <c r="D778" s="217"/>
      <c r="E778" s="217"/>
      <c r="F778" s="217"/>
      <c r="G778" s="217"/>
      <c r="H778" s="217"/>
    </row>
    <row r="779" ht="12.75" customHeight="1">
      <c r="D779" s="217"/>
      <c r="E779" s="217"/>
      <c r="F779" s="217"/>
      <c r="G779" s="217"/>
      <c r="H779" s="217"/>
    </row>
    <row r="780" ht="12.75" customHeight="1">
      <c r="D780" s="217"/>
      <c r="E780" s="217"/>
      <c r="F780" s="217"/>
      <c r="G780" s="217"/>
      <c r="H780" s="217"/>
    </row>
    <row r="781" ht="12.75" customHeight="1">
      <c r="D781" s="217"/>
      <c r="E781" s="217"/>
      <c r="F781" s="217"/>
      <c r="G781" s="217"/>
      <c r="H781" s="217"/>
    </row>
    <row r="782" ht="12.75" customHeight="1">
      <c r="D782" s="217"/>
      <c r="E782" s="217"/>
      <c r="F782" s="217"/>
      <c r="G782" s="217"/>
      <c r="H782" s="217"/>
    </row>
    <row r="783" ht="12.75" customHeight="1">
      <c r="D783" s="217"/>
      <c r="E783" s="217"/>
      <c r="F783" s="217"/>
      <c r="G783" s="217"/>
      <c r="H783" s="217"/>
    </row>
    <row r="784" ht="12.75" customHeight="1">
      <c r="D784" s="217"/>
      <c r="E784" s="217"/>
      <c r="F784" s="217"/>
      <c r="G784" s="217"/>
      <c r="H784" s="217"/>
    </row>
    <row r="785" ht="12.75" customHeight="1">
      <c r="D785" s="217"/>
      <c r="E785" s="217"/>
      <c r="F785" s="217"/>
      <c r="G785" s="217"/>
      <c r="H785" s="217"/>
    </row>
    <row r="786" ht="12.75" customHeight="1">
      <c r="D786" s="217"/>
      <c r="E786" s="217"/>
      <c r="F786" s="217"/>
      <c r="G786" s="217"/>
      <c r="H786" s="217"/>
    </row>
    <row r="787" ht="12.75" customHeight="1">
      <c r="D787" s="217"/>
      <c r="E787" s="217"/>
      <c r="F787" s="217"/>
      <c r="G787" s="217"/>
      <c r="H787" s="217"/>
    </row>
    <row r="788" ht="12.75" customHeight="1">
      <c r="D788" s="217"/>
      <c r="E788" s="217"/>
      <c r="F788" s="217"/>
      <c r="G788" s="217"/>
      <c r="H788" s="217"/>
    </row>
    <row r="789" ht="12.75" customHeight="1">
      <c r="D789" s="217"/>
      <c r="E789" s="217"/>
      <c r="F789" s="217"/>
      <c r="G789" s="217"/>
      <c r="H789" s="217"/>
    </row>
    <row r="790" ht="12.75" customHeight="1">
      <c r="D790" s="217"/>
      <c r="E790" s="217"/>
      <c r="F790" s="217"/>
      <c r="G790" s="217"/>
      <c r="H790" s="217"/>
    </row>
    <row r="791" ht="12.75" customHeight="1">
      <c r="D791" s="217"/>
      <c r="E791" s="217"/>
      <c r="F791" s="217"/>
      <c r="G791" s="217"/>
      <c r="H791" s="217"/>
    </row>
    <row r="792" ht="12.75" customHeight="1">
      <c r="D792" s="217"/>
      <c r="E792" s="217"/>
      <c r="F792" s="217"/>
      <c r="G792" s="217"/>
      <c r="H792" s="217"/>
    </row>
    <row r="793" ht="12.75" customHeight="1">
      <c r="D793" s="217"/>
      <c r="E793" s="217"/>
      <c r="F793" s="217"/>
      <c r="G793" s="217"/>
      <c r="H793" s="217"/>
    </row>
    <row r="794" ht="12.75" customHeight="1">
      <c r="D794" s="217"/>
      <c r="E794" s="217"/>
      <c r="F794" s="217"/>
      <c r="G794" s="217"/>
      <c r="H794" s="217"/>
    </row>
    <row r="795" ht="12.75" customHeight="1">
      <c r="D795" s="217"/>
      <c r="E795" s="217"/>
      <c r="F795" s="217"/>
      <c r="G795" s="217"/>
      <c r="H795" s="217"/>
    </row>
    <row r="796" ht="12.75" customHeight="1">
      <c r="D796" s="217"/>
      <c r="E796" s="217"/>
      <c r="F796" s="217"/>
      <c r="G796" s="217"/>
      <c r="H796" s="217"/>
    </row>
    <row r="797" ht="12.75" customHeight="1">
      <c r="D797" s="217"/>
      <c r="E797" s="217"/>
      <c r="F797" s="217"/>
      <c r="G797" s="217"/>
      <c r="H797" s="217"/>
    </row>
    <row r="798" ht="12.75" customHeight="1">
      <c r="D798" s="217"/>
      <c r="E798" s="217"/>
      <c r="F798" s="217"/>
      <c r="G798" s="217"/>
      <c r="H798" s="217"/>
    </row>
    <row r="799" ht="12.75" customHeight="1">
      <c r="D799" s="217"/>
      <c r="E799" s="217"/>
      <c r="F799" s="217"/>
      <c r="G799" s="217"/>
      <c r="H799" s="217"/>
    </row>
    <row r="800" ht="12.75" customHeight="1">
      <c r="D800" s="217"/>
      <c r="E800" s="217"/>
      <c r="F800" s="217"/>
      <c r="G800" s="217"/>
      <c r="H800" s="217"/>
    </row>
    <row r="801" ht="12.75" customHeight="1">
      <c r="D801" s="217"/>
      <c r="E801" s="217"/>
      <c r="F801" s="217"/>
      <c r="G801" s="217"/>
      <c r="H801" s="217"/>
    </row>
    <row r="802" ht="12.75" customHeight="1">
      <c r="D802" s="217"/>
      <c r="E802" s="217"/>
      <c r="F802" s="217"/>
      <c r="G802" s="217"/>
      <c r="H802" s="217"/>
    </row>
    <row r="803" ht="12.75" customHeight="1">
      <c r="D803" s="217"/>
      <c r="E803" s="217"/>
      <c r="F803" s="217"/>
      <c r="G803" s="217"/>
      <c r="H803" s="217"/>
    </row>
    <row r="804" ht="12.75" customHeight="1">
      <c r="D804" s="217"/>
      <c r="E804" s="217"/>
      <c r="F804" s="217"/>
      <c r="G804" s="217"/>
      <c r="H804" s="217"/>
    </row>
    <row r="805" ht="12.75" customHeight="1">
      <c r="D805" s="217"/>
      <c r="E805" s="217"/>
      <c r="F805" s="217"/>
      <c r="G805" s="217"/>
      <c r="H805" s="217"/>
    </row>
    <row r="806" ht="12.75" customHeight="1">
      <c r="D806" s="217"/>
      <c r="E806" s="217"/>
      <c r="F806" s="217"/>
      <c r="G806" s="217"/>
      <c r="H806" s="217"/>
    </row>
    <row r="807" ht="12.75" customHeight="1">
      <c r="D807" s="217"/>
      <c r="E807" s="217"/>
      <c r="F807" s="217"/>
      <c r="G807" s="217"/>
      <c r="H807" s="217"/>
    </row>
    <row r="808" ht="12.75" customHeight="1">
      <c r="D808" s="217"/>
      <c r="E808" s="217"/>
      <c r="F808" s="217"/>
      <c r="G808" s="217"/>
      <c r="H808" s="217"/>
    </row>
    <row r="809" ht="12.75" customHeight="1">
      <c r="D809" s="217"/>
      <c r="E809" s="217"/>
      <c r="F809" s="217"/>
      <c r="G809" s="217"/>
      <c r="H809" s="217"/>
    </row>
    <row r="810" ht="12.75" customHeight="1">
      <c r="D810" s="217"/>
      <c r="E810" s="217"/>
      <c r="F810" s="217"/>
      <c r="G810" s="217"/>
      <c r="H810" s="217"/>
    </row>
    <row r="811" ht="12.75" customHeight="1">
      <c r="D811" s="217"/>
      <c r="E811" s="217"/>
      <c r="F811" s="217"/>
      <c r="G811" s="217"/>
      <c r="H811" s="217"/>
    </row>
    <row r="812" ht="12.75" customHeight="1">
      <c r="D812" s="217"/>
      <c r="E812" s="217"/>
      <c r="F812" s="217"/>
      <c r="G812" s="217"/>
      <c r="H812" s="217"/>
    </row>
    <row r="813" ht="12.75" customHeight="1">
      <c r="D813" s="217"/>
      <c r="E813" s="217"/>
      <c r="F813" s="217"/>
      <c r="G813" s="217"/>
      <c r="H813" s="217"/>
    </row>
    <row r="814" ht="12.75" customHeight="1">
      <c r="D814" s="217"/>
      <c r="E814" s="217"/>
      <c r="F814" s="217"/>
      <c r="G814" s="217"/>
      <c r="H814" s="217"/>
    </row>
    <row r="815" ht="12.75" customHeight="1">
      <c r="D815" s="217"/>
      <c r="E815" s="217"/>
      <c r="F815" s="217"/>
      <c r="G815" s="217"/>
      <c r="H815" s="217"/>
    </row>
    <row r="816" ht="12.75" customHeight="1">
      <c r="D816" s="217"/>
      <c r="E816" s="217"/>
      <c r="F816" s="217"/>
      <c r="G816" s="217"/>
      <c r="H816" s="217"/>
    </row>
    <row r="817" ht="12.75" customHeight="1">
      <c r="D817" s="217"/>
      <c r="E817" s="217"/>
      <c r="F817" s="217"/>
      <c r="G817" s="217"/>
      <c r="H817" s="217"/>
    </row>
    <row r="818" ht="12.75" customHeight="1">
      <c r="D818" s="217"/>
      <c r="E818" s="217"/>
      <c r="F818" s="217"/>
      <c r="G818" s="217"/>
      <c r="H818" s="217"/>
    </row>
    <row r="819" ht="12.75" customHeight="1">
      <c r="D819" s="217"/>
      <c r="E819" s="217"/>
      <c r="F819" s="217"/>
      <c r="G819" s="217"/>
      <c r="H819" s="217"/>
    </row>
    <row r="820" ht="12.75" customHeight="1">
      <c r="D820" s="217"/>
      <c r="E820" s="217"/>
      <c r="F820" s="217"/>
      <c r="G820" s="217"/>
      <c r="H820" s="217"/>
    </row>
    <row r="821" ht="12.75" customHeight="1">
      <c r="D821" s="217"/>
      <c r="E821" s="217"/>
      <c r="F821" s="217"/>
      <c r="G821" s="217"/>
      <c r="H821" s="217"/>
    </row>
    <row r="822" ht="12.75" customHeight="1">
      <c r="D822" s="217"/>
      <c r="E822" s="217"/>
      <c r="F822" s="217"/>
      <c r="G822" s="217"/>
      <c r="H822" s="217"/>
    </row>
    <row r="823" ht="12.75" customHeight="1">
      <c r="D823" s="217"/>
      <c r="E823" s="217"/>
      <c r="F823" s="217"/>
      <c r="G823" s="217"/>
      <c r="H823" s="217"/>
    </row>
    <row r="824" ht="12.75" customHeight="1">
      <c r="D824" s="217"/>
      <c r="E824" s="217"/>
      <c r="F824" s="217"/>
      <c r="G824" s="217"/>
      <c r="H824" s="217"/>
    </row>
    <row r="825" ht="12.75" customHeight="1">
      <c r="D825" s="217"/>
      <c r="E825" s="217"/>
      <c r="F825" s="217"/>
      <c r="G825" s="217"/>
      <c r="H825" s="217"/>
    </row>
    <row r="826" ht="12.75" customHeight="1">
      <c r="D826" s="217"/>
      <c r="E826" s="217"/>
      <c r="F826" s="217"/>
      <c r="G826" s="217"/>
      <c r="H826" s="217"/>
    </row>
    <row r="827" ht="12.75" customHeight="1">
      <c r="D827" s="217"/>
      <c r="E827" s="217"/>
      <c r="F827" s="217"/>
      <c r="G827" s="217"/>
      <c r="H827" s="217"/>
    </row>
    <row r="828" ht="12.75" customHeight="1">
      <c r="D828" s="217"/>
      <c r="E828" s="217"/>
      <c r="F828" s="217"/>
      <c r="G828" s="217"/>
      <c r="H828" s="217"/>
    </row>
    <row r="829" ht="12.75" customHeight="1">
      <c r="D829" s="217"/>
      <c r="E829" s="217"/>
      <c r="F829" s="217"/>
      <c r="G829" s="217"/>
      <c r="H829" s="217"/>
    </row>
    <row r="830" ht="12.75" customHeight="1">
      <c r="D830" s="217"/>
      <c r="E830" s="217"/>
      <c r="F830" s="217"/>
      <c r="G830" s="217"/>
      <c r="H830" s="217"/>
    </row>
    <row r="831" ht="12.75" customHeight="1">
      <c r="D831" s="217"/>
      <c r="E831" s="217"/>
      <c r="F831" s="217"/>
      <c r="G831" s="217"/>
      <c r="H831" s="217"/>
    </row>
    <row r="832" ht="12.75" customHeight="1">
      <c r="D832" s="217"/>
      <c r="E832" s="217"/>
      <c r="F832" s="217"/>
      <c r="G832" s="217"/>
      <c r="H832" s="217"/>
    </row>
    <row r="833" ht="12.75" customHeight="1">
      <c r="D833" s="217"/>
      <c r="E833" s="217"/>
      <c r="F833" s="217"/>
      <c r="G833" s="217"/>
      <c r="H833" s="217"/>
    </row>
    <row r="834" ht="12.75" customHeight="1">
      <c r="D834" s="217"/>
      <c r="E834" s="217"/>
      <c r="F834" s="217"/>
      <c r="G834" s="217"/>
      <c r="H834" s="217"/>
    </row>
    <row r="835" ht="12.75" customHeight="1">
      <c r="D835" s="217"/>
      <c r="E835" s="217"/>
      <c r="F835" s="217"/>
      <c r="G835" s="217"/>
      <c r="H835" s="217"/>
    </row>
    <row r="836" ht="12.75" customHeight="1">
      <c r="D836" s="217"/>
      <c r="E836" s="217"/>
      <c r="F836" s="217"/>
      <c r="G836" s="217"/>
      <c r="H836" s="217"/>
    </row>
    <row r="837" ht="12.75" customHeight="1">
      <c r="D837" s="217"/>
      <c r="E837" s="217"/>
      <c r="F837" s="217"/>
      <c r="G837" s="217"/>
      <c r="H837" s="217"/>
    </row>
    <row r="838" ht="12.75" customHeight="1">
      <c r="D838" s="217"/>
      <c r="E838" s="217"/>
      <c r="F838" s="217"/>
      <c r="G838" s="217"/>
      <c r="H838" s="217"/>
    </row>
    <row r="839" ht="12.75" customHeight="1">
      <c r="D839" s="217"/>
      <c r="E839" s="217"/>
      <c r="F839" s="217"/>
      <c r="G839" s="217"/>
      <c r="H839" s="217"/>
    </row>
    <row r="840" ht="12.75" customHeight="1">
      <c r="D840" s="217"/>
      <c r="E840" s="217"/>
      <c r="F840" s="217"/>
      <c r="G840" s="217"/>
      <c r="H840" s="217"/>
    </row>
    <row r="841" ht="12.75" customHeight="1">
      <c r="D841" s="217"/>
      <c r="E841" s="217"/>
      <c r="F841" s="217"/>
      <c r="G841" s="217"/>
      <c r="H841" s="217"/>
    </row>
    <row r="842" ht="12.75" customHeight="1">
      <c r="D842" s="217"/>
      <c r="E842" s="217"/>
      <c r="F842" s="217"/>
      <c r="G842" s="217"/>
      <c r="H842" s="217"/>
    </row>
    <row r="843" ht="12.75" customHeight="1">
      <c r="D843" s="217"/>
      <c r="E843" s="217"/>
      <c r="F843" s="217"/>
      <c r="G843" s="217"/>
      <c r="H843" s="217"/>
    </row>
    <row r="844" ht="12.75" customHeight="1">
      <c r="D844" s="217"/>
      <c r="E844" s="217"/>
      <c r="F844" s="217"/>
      <c r="G844" s="217"/>
      <c r="H844" s="217"/>
    </row>
    <row r="845" ht="12.75" customHeight="1">
      <c r="D845" s="217"/>
      <c r="E845" s="217"/>
      <c r="F845" s="217"/>
      <c r="G845" s="217"/>
      <c r="H845" s="217"/>
    </row>
    <row r="846" ht="12.75" customHeight="1">
      <c r="D846" s="217"/>
      <c r="E846" s="217"/>
      <c r="F846" s="217"/>
      <c r="G846" s="217"/>
      <c r="H846" s="217"/>
    </row>
    <row r="847" ht="12.75" customHeight="1">
      <c r="D847" s="217"/>
      <c r="E847" s="217"/>
      <c r="F847" s="217"/>
      <c r="G847" s="217"/>
      <c r="H847" s="217"/>
    </row>
    <row r="848" ht="12.75" customHeight="1">
      <c r="D848" s="217"/>
      <c r="E848" s="217"/>
      <c r="F848" s="217"/>
      <c r="G848" s="217"/>
      <c r="H848" s="217"/>
    </row>
    <row r="849" ht="12.75" customHeight="1">
      <c r="D849" s="217"/>
      <c r="E849" s="217"/>
      <c r="F849" s="217"/>
      <c r="G849" s="217"/>
      <c r="H849" s="217"/>
    </row>
    <row r="850" ht="12.75" customHeight="1">
      <c r="D850" s="217"/>
      <c r="E850" s="217"/>
      <c r="F850" s="217"/>
      <c r="G850" s="217"/>
      <c r="H850" s="217"/>
    </row>
    <row r="851" ht="12.75" customHeight="1">
      <c r="D851" s="217"/>
      <c r="E851" s="217"/>
      <c r="F851" s="217"/>
      <c r="G851" s="217"/>
      <c r="H851" s="217"/>
    </row>
    <row r="852" ht="12.75" customHeight="1">
      <c r="D852" s="217"/>
      <c r="E852" s="217"/>
      <c r="F852" s="217"/>
      <c r="G852" s="217"/>
      <c r="H852" s="217"/>
    </row>
    <row r="853" ht="12.75" customHeight="1">
      <c r="D853" s="217"/>
      <c r="E853" s="217"/>
      <c r="F853" s="217"/>
      <c r="G853" s="217"/>
      <c r="H853" s="217"/>
    </row>
    <row r="854" ht="12.75" customHeight="1">
      <c r="D854" s="217"/>
      <c r="E854" s="217"/>
      <c r="F854" s="217"/>
      <c r="G854" s="217"/>
      <c r="H854" s="217"/>
    </row>
    <row r="855" ht="12.75" customHeight="1">
      <c r="D855" s="217"/>
      <c r="E855" s="217"/>
      <c r="F855" s="217"/>
      <c r="G855" s="217"/>
      <c r="H855" s="217"/>
    </row>
    <row r="856" ht="12.75" customHeight="1">
      <c r="D856" s="217"/>
      <c r="E856" s="217"/>
      <c r="F856" s="217"/>
      <c r="G856" s="217"/>
      <c r="H856" s="217"/>
    </row>
    <row r="857" ht="12.75" customHeight="1">
      <c r="D857" s="217"/>
      <c r="E857" s="217"/>
      <c r="F857" s="217"/>
      <c r="G857" s="217"/>
      <c r="H857" s="217"/>
    </row>
    <row r="858" ht="12.75" customHeight="1">
      <c r="D858" s="217"/>
      <c r="E858" s="217"/>
      <c r="F858" s="217"/>
      <c r="G858" s="217"/>
      <c r="H858" s="217"/>
    </row>
    <row r="859" ht="12.75" customHeight="1">
      <c r="D859" s="217"/>
      <c r="E859" s="217"/>
      <c r="F859" s="217"/>
      <c r="G859" s="217"/>
      <c r="H859" s="217"/>
    </row>
    <row r="860" ht="12.75" customHeight="1">
      <c r="D860" s="217"/>
      <c r="E860" s="217"/>
      <c r="F860" s="217"/>
      <c r="G860" s="217"/>
      <c r="H860" s="217"/>
    </row>
    <row r="861" ht="12.75" customHeight="1">
      <c r="D861" s="217"/>
      <c r="E861" s="217"/>
      <c r="F861" s="217"/>
      <c r="G861" s="217"/>
      <c r="H861" s="217"/>
    </row>
    <row r="862" ht="12.75" customHeight="1">
      <c r="D862" s="217"/>
      <c r="E862" s="217"/>
      <c r="F862" s="217"/>
      <c r="G862" s="217"/>
      <c r="H862" s="217"/>
    </row>
    <row r="863" ht="12.75" customHeight="1">
      <c r="D863" s="217"/>
      <c r="E863" s="217"/>
      <c r="F863" s="217"/>
      <c r="G863" s="217"/>
      <c r="H863" s="217"/>
    </row>
    <row r="864" ht="12.75" customHeight="1">
      <c r="D864" s="217"/>
      <c r="E864" s="217"/>
      <c r="F864" s="217"/>
      <c r="G864" s="217"/>
      <c r="H864" s="217"/>
    </row>
    <row r="865" ht="12.75" customHeight="1">
      <c r="D865" s="217"/>
      <c r="E865" s="217"/>
      <c r="F865" s="217"/>
      <c r="G865" s="217"/>
      <c r="H865" s="217"/>
    </row>
    <row r="866" ht="12.75" customHeight="1">
      <c r="D866" s="217"/>
      <c r="E866" s="217"/>
      <c r="F866" s="217"/>
      <c r="G866" s="217"/>
      <c r="H866" s="217"/>
    </row>
    <row r="867" ht="12.75" customHeight="1">
      <c r="D867" s="217"/>
      <c r="E867" s="217"/>
      <c r="F867" s="217"/>
      <c r="G867" s="217"/>
      <c r="H867" s="217"/>
    </row>
    <row r="868" ht="12.75" customHeight="1">
      <c r="D868" s="217"/>
      <c r="E868" s="217"/>
      <c r="F868" s="217"/>
      <c r="G868" s="217"/>
      <c r="H868" s="217"/>
    </row>
    <row r="869" ht="12.75" customHeight="1">
      <c r="D869" s="217"/>
      <c r="E869" s="217"/>
      <c r="F869" s="217"/>
      <c r="G869" s="217"/>
      <c r="H869" s="217"/>
    </row>
    <row r="870" ht="12.75" customHeight="1">
      <c r="D870" s="217"/>
      <c r="E870" s="217"/>
      <c r="F870" s="217"/>
      <c r="G870" s="217"/>
      <c r="H870" s="217"/>
    </row>
    <row r="871" ht="12.75" customHeight="1">
      <c r="D871" s="217"/>
      <c r="E871" s="217"/>
      <c r="F871" s="217"/>
      <c r="G871" s="217"/>
      <c r="H871" s="217"/>
    </row>
    <row r="872" ht="12.75" customHeight="1">
      <c r="D872" s="217"/>
      <c r="E872" s="217"/>
      <c r="F872" s="217"/>
      <c r="G872" s="217"/>
      <c r="H872" s="217"/>
    </row>
    <row r="873" ht="12.75" customHeight="1">
      <c r="D873" s="217"/>
      <c r="E873" s="217"/>
      <c r="F873" s="217"/>
      <c r="G873" s="217"/>
      <c r="H873" s="217"/>
    </row>
    <row r="874" ht="12.75" customHeight="1">
      <c r="D874" s="217"/>
      <c r="E874" s="217"/>
      <c r="F874" s="217"/>
      <c r="G874" s="217"/>
      <c r="H874" s="217"/>
    </row>
    <row r="875" ht="12.75" customHeight="1">
      <c r="D875" s="217"/>
      <c r="E875" s="217"/>
      <c r="F875" s="217"/>
      <c r="G875" s="217"/>
      <c r="H875" s="217"/>
    </row>
    <row r="876" ht="12.75" customHeight="1">
      <c r="D876" s="217"/>
      <c r="E876" s="217"/>
      <c r="F876" s="217"/>
      <c r="G876" s="217"/>
      <c r="H876" s="217"/>
    </row>
    <row r="877" ht="12.75" customHeight="1">
      <c r="D877" s="217"/>
      <c r="E877" s="217"/>
      <c r="F877" s="217"/>
      <c r="G877" s="217"/>
      <c r="H877" s="217"/>
    </row>
    <row r="878" ht="12.75" customHeight="1">
      <c r="D878" s="217"/>
      <c r="E878" s="217"/>
      <c r="F878" s="217"/>
      <c r="G878" s="217"/>
      <c r="H878" s="217"/>
    </row>
    <row r="879" ht="12.75" customHeight="1">
      <c r="D879" s="217"/>
      <c r="E879" s="217"/>
      <c r="F879" s="217"/>
      <c r="G879" s="217"/>
      <c r="H879" s="217"/>
    </row>
    <row r="880" ht="12.75" customHeight="1">
      <c r="D880" s="217"/>
      <c r="E880" s="217"/>
      <c r="F880" s="217"/>
      <c r="G880" s="217"/>
      <c r="H880" s="217"/>
    </row>
    <row r="881" ht="12.75" customHeight="1">
      <c r="D881" s="217"/>
      <c r="E881" s="217"/>
      <c r="F881" s="217"/>
      <c r="G881" s="217"/>
      <c r="H881" s="217"/>
    </row>
    <row r="882" ht="12.75" customHeight="1">
      <c r="D882" s="217"/>
      <c r="E882" s="217"/>
      <c r="F882" s="217"/>
      <c r="G882" s="217"/>
      <c r="H882" s="217"/>
    </row>
    <row r="883" ht="12.75" customHeight="1">
      <c r="D883" s="217"/>
      <c r="E883" s="217"/>
      <c r="F883" s="217"/>
      <c r="G883" s="217"/>
      <c r="H883" s="217"/>
    </row>
    <row r="884" ht="12.75" customHeight="1">
      <c r="D884" s="217"/>
      <c r="E884" s="217"/>
      <c r="F884" s="217"/>
      <c r="G884" s="217"/>
      <c r="H884" s="217"/>
    </row>
    <row r="885" ht="12.75" customHeight="1">
      <c r="D885" s="217"/>
      <c r="E885" s="217"/>
      <c r="F885" s="217"/>
      <c r="G885" s="217"/>
      <c r="H885" s="217"/>
    </row>
    <row r="886" ht="12.75" customHeight="1">
      <c r="D886" s="217"/>
      <c r="E886" s="217"/>
      <c r="F886" s="217"/>
      <c r="G886" s="217"/>
      <c r="H886" s="217"/>
    </row>
    <row r="887" ht="12.75" customHeight="1">
      <c r="D887" s="217"/>
      <c r="E887" s="217"/>
      <c r="F887" s="217"/>
      <c r="G887" s="217"/>
      <c r="H887" s="217"/>
    </row>
    <row r="888" ht="12.75" customHeight="1">
      <c r="D888" s="217"/>
      <c r="E888" s="217"/>
      <c r="F888" s="217"/>
      <c r="G888" s="217"/>
      <c r="H888" s="217"/>
    </row>
    <row r="889" ht="12.75" customHeight="1">
      <c r="D889" s="217"/>
      <c r="E889" s="217"/>
      <c r="F889" s="217"/>
      <c r="G889" s="217"/>
      <c r="H889" s="217"/>
    </row>
    <row r="890" ht="12.75" customHeight="1">
      <c r="D890" s="217"/>
      <c r="E890" s="217"/>
      <c r="F890" s="217"/>
      <c r="G890" s="217"/>
      <c r="H890" s="217"/>
    </row>
    <row r="891" ht="12.75" customHeight="1">
      <c r="D891" s="217"/>
      <c r="E891" s="217"/>
      <c r="F891" s="217"/>
      <c r="G891" s="217"/>
      <c r="H891" s="217"/>
    </row>
    <row r="892" ht="12.75" customHeight="1">
      <c r="D892" s="217"/>
      <c r="E892" s="217"/>
      <c r="F892" s="217"/>
      <c r="G892" s="217"/>
      <c r="H892" s="217"/>
    </row>
    <row r="893" ht="12.75" customHeight="1">
      <c r="D893" s="217"/>
      <c r="E893" s="217"/>
      <c r="F893" s="217"/>
      <c r="G893" s="217"/>
      <c r="H893" s="217"/>
    </row>
    <row r="894" ht="12.75" customHeight="1">
      <c r="D894" s="217"/>
      <c r="E894" s="217"/>
      <c r="F894" s="217"/>
      <c r="G894" s="217"/>
      <c r="H894" s="217"/>
    </row>
    <row r="895" ht="12.75" customHeight="1">
      <c r="D895" s="217"/>
      <c r="E895" s="217"/>
      <c r="F895" s="217"/>
      <c r="G895" s="217"/>
      <c r="H895" s="217"/>
    </row>
    <row r="896" ht="12.75" customHeight="1">
      <c r="D896" s="217"/>
      <c r="E896" s="217"/>
      <c r="F896" s="217"/>
      <c r="G896" s="217"/>
      <c r="H896" s="217"/>
    </row>
    <row r="897" ht="12.75" customHeight="1">
      <c r="D897" s="217"/>
      <c r="E897" s="217"/>
      <c r="F897" s="217"/>
      <c r="G897" s="217"/>
      <c r="H897" s="217"/>
    </row>
    <row r="898" ht="12.75" customHeight="1">
      <c r="D898" s="217"/>
      <c r="E898" s="217"/>
      <c r="F898" s="217"/>
      <c r="G898" s="217"/>
      <c r="H898" s="217"/>
    </row>
    <row r="899" ht="12.75" customHeight="1">
      <c r="D899" s="217"/>
      <c r="E899" s="217"/>
      <c r="F899" s="217"/>
      <c r="G899" s="217"/>
      <c r="H899" s="217"/>
    </row>
    <row r="900" ht="12.75" customHeight="1">
      <c r="D900" s="217"/>
      <c r="E900" s="217"/>
      <c r="F900" s="217"/>
      <c r="G900" s="217"/>
      <c r="H900" s="217"/>
    </row>
    <row r="901" ht="12.75" customHeight="1">
      <c r="D901" s="217"/>
      <c r="E901" s="217"/>
      <c r="F901" s="217"/>
      <c r="G901" s="217"/>
      <c r="H901" s="217"/>
    </row>
    <row r="902" ht="12.75" customHeight="1">
      <c r="D902" s="217"/>
      <c r="E902" s="217"/>
      <c r="F902" s="217"/>
      <c r="G902" s="217"/>
      <c r="H902" s="217"/>
    </row>
    <row r="903" ht="12.75" customHeight="1">
      <c r="D903" s="217"/>
      <c r="E903" s="217"/>
      <c r="F903" s="217"/>
      <c r="G903" s="217"/>
      <c r="H903" s="217"/>
    </row>
    <row r="904" ht="12.75" customHeight="1">
      <c r="D904" s="217"/>
      <c r="E904" s="217"/>
      <c r="F904" s="217"/>
      <c r="G904" s="217"/>
      <c r="H904" s="217"/>
    </row>
    <row r="905" ht="12.75" customHeight="1">
      <c r="D905" s="217"/>
      <c r="E905" s="217"/>
      <c r="F905" s="217"/>
      <c r="G905" s="217"/>
      <c r="H905" s="217"/>
    </row>
    <row r="906" ht="12.75" customHeight="1">
      <c r="D906" s="217"/>
      <c r="E906" s="217"/>
      <c r="F906" s="217"/>
      <c r="G906" s="217"/>
      <c r="H906" s="217"/>
    </row>
    <row r="907" ht="12.75" customHeight="1">
      <c r="D907" s="217"/>
      <c r="E907" s="217"/>
      <c r="F907" s="217"/>
      <c r="G907" s="217"/>
      <c r="H907" s="217"/>
    </row>
    <row r="908" ht="12.75" customHeight="1">
      <c r="D908" s="217"/>
      <c r="E908" s="217"/>
      <c r="F908" s="217"/>
      <c r="G908" s="217"/>
      <c r="H908" s="217"/>
    </row>
    <row r="909" ht="12.75" customHeight="1">
      <c r="D909" s="217"/>
      <c r="E909" s="217"/>
      <c r="F909" s="217"/>
      <c r="G909" s="217"/>
      <c r="H909" s="217"/>
    </row>
    <row r="910" ht="12.75" customHeight="1">
      <c r="D910" s="217"/>
      <c r="E910" s="217"/>
      <c r="F910" s="217"/>
      <c r="G910" s="217"/>
      <c r="H910" s="217"/>
    </row>
    <row r="911" ht="12.75" customHeight="1">
      <c r="D911" s="217"/>
      <c r="E911" s="217"/>
      <c r="F911" s="217"/>
      <c r="G911" s="217"/>
      <c r="H911" s="217"/>
    </row>
    <row r="912" ht="12.75" customHeight="1">
      <c r="D912" s="217"/>
      <c r="E912" s="217"/>
      <c r="F912" s="217"/>
      <c r="G912" s="217"/>
      <c r="H912" s="217"/>
    </row>
    <row r="913" ht="12.75" customHeight="1">
      <c r="D913" s="217"/>
      <c r="E913" s="217"/>
      <c r="F913" s="217"/>
      <c r="G913" s="217"/>
      <c r="H913" s="217"/>
    </row>
    <row r="914" ht="12.75" customHeight="1">
      <c r="D914" s="217"/>
      <c r="E914" s="217"/>
      <c r="F914" s="217"/>
      <c r="G914" s="217"/>
      <c r="H914" s="217"/>
    </row>
    <row r="915" ht="12.75" customHeight="1">
      <c r="D915" s="217"/>
      <c r="E915" s="217"/>
      <c r="F915" s="217"/>
      <c r="G915" s="217"/>
      <c r="H915" s="217"/>
    </row>
    <row r="916" ht="12.75" customHeight="1">
      <c r="D916" s="217"/>
      <c r="E916" s="217"/>
      <c r="F916" s="217"/>
      <c r="G916" s="217"/>
      <c r="H916" s="217"/>
    </row>
    <row r="917" ht="12.75" customHeight="1">
      <c r="D917" s="217"/>
      <c r="E917" s="217"/>
      <c r="F917" s="217"/>
      <c r="G917" s="217"/>
      <c r="H917" s="217"/>
    </row>
    <row r="918" ht="12.75" customHeight="1">
      <c r="D918" s="217"/>
      <c r="E918" s="217"/>
      <c r="F918" s="217"/>
      <c r="G918" s="217"/>
      <c r="H918" s="217"/>
    </row>
    <row r="919" ht="12.75" customHeight="1">
      <c r="D919" s="217"/>
      <c r="E919" s="217"/>
      <c r="F919" s="217"/>
      <c r="G919" s="217"/>
      <c r="H919" s="217"/>
    </row>
    <row r="920" ht="12.75" customHeight="1">
      <c r="D920" s="217"/>
      <c r="E920" s="217"/>
      <c r="F920" s="217"/>
      <c r="G920" s="217"/>
      <c r="H920" s="217"/>
    </row>
    <row r="921" ht="12.75" customHeight="1">
      <c r="D921" s="217"/>
      <c r="E921" s="217"/>
      <c r="F921" s="217"/>
      <c r="G921" s="217"/>
      <c r="H921" s="217"/>
    </row>
    <row r="922" ht="12.75" customHeight="1">
      <c r="D922" s="217"/>
      <c r="E922" s="217"/>
      <c r="F922" s="217"/>
      <c r="G922" s="217"/>
      <c r="H922" s="217"/>
    </row>
    <row r="923" ht="12.75" customHeight="1">
      <c r="D923" s="217"/>
      <c r="E923" s="217"/>
      <c r="F923" s="217"/>
      <c r="G923" s="217"/>
      <c r="H923" s="217"/>
    </row>
    <row r="924" ht="12.75" customHeight="1">
      <c r="D924" s="217"/>
      <c r="E924" s="217"/>
      <c r="F924" s="217"/>
      <c r="G924" s="217"/>
      <c r="H924" s="217"/>
    </row>
    <row r="925" ht="12.75" customHeight="1">
      <c r="D925" s="217"/>
      <c r="E925" s="217"/>
      <c r="F925" s="217"/>
      <c r="G925" s="217"/>
      <c r="H925" s="217"/>
    </row>
    <row r="926" ht="12.75" customHeight="1">
      <c r="D926" s="217"/>
      <c r="E926" s="217"/>
      <c r="F926" s="217"/>
      <c r="G926" s="217"/>
      <c r="H926" s="217"/>
    </row>
    <row r="927" ht="12.75" customHeight="1">
      <c r="D927" s="217"/>
      <c r="E927" s="217"/>
      <c r="F927" s="217"/>
      <c r="G927" s="217"/>
      <c r="H927" s="217"/>
    </row>
    <row r="928" ht="12.75" customHeight="1">
      <c r="D928" s="217"/>
      <c r="E928" s="217"/>
      <c r="F928" s="217"/>
      <c r="G928" s="217"/>
      <c r="H928" s="217"/>
    </row>
    <row r="929" ht="12.75" customHeight="1">
      <c r="D929" s="217"/>
      <c r="E929" s="217"/>
      <c r="F929" s="217"/>
      <c r="G929" s="217"/>
      <c r="H929" s="217"/>
    </row>
    <row r="930" ht="12.75" customHeight="1">
      <c r="D930" s="217"/>
      <c r="E930" s="217"/>
      <c r="F930" s="217"/>
      <c r="G930" s="217"/>
      <c r="H930" s="217"/>
    </row>
    <row r="931" ht="12.75" customHeight="1">
      <c r="D931" s="217"/>
      <c r="E931" s="217"/>
      <c r="F931" s="217"/>
      <c r="G931" s="217"/>
      <c r="H931" s="217"/>
    </row>
    <row r="932" ht="12.75" customHeight="1">
      <c r="D932" s="217"/>
      <c r="E932" s="217"/>
      <c r="F932" s="217"/>
      <c r="G932" s="217"/>
      <c r="H932" s="217"/>
    </row>
    <row r="933" ht="12.75" customHeight="1">
      <c r="D933" s="217"/>
      <c r="E933" s="217"/>
      <c r="F933" s="217"/>
      <c r="G933" s="217"/>
      <c r="H933" s="217"/>
    </row>
    <row r="934" ht="12.75" customHeight="1">
      <c r="D934" s="217"/>
      <c r="E934" s="217"/>
      <c r="F934" s="217"/>
      <c r="G934" s="217"/>
      <c r="H934" s="217"/>
    </row>
    <row r="935" ht="12.75" customHeight="1">
      <c r="D935" s="217"/>
      <c r="E935" s="217"/>
      <c r="F935" s="217"/>
      <c r="G935" s="217"/>
      <c r="H935" s="217"/>
    </row>
    <row r="936" ht="12.75" customHeight="1">
      <c r="D936" s="217"/>
      <c r="E936" s="217"/>
      <c r="F936" s="217"/>
      <c r="G936" s="217"/>
      <c r="H936" s="217"/>
    </row>
    <row r="937" ht="12.75" customHeight="1">
      <c r="D937" s="217"/>
      <c r="E937" s="217"/>
      <c r="F937" s="217"/>
      <c r="G937" s="217"/>
      <c r="H937" s="217"/>
    </row>
    <row r="938" ht="12.75" customHeight="1">
      <c r="D938" s="217"/>
      <c r="E938" s="217"/>
      <c r="F938" s="217"/>
      <c r="G938" s="217"/>
      <c r="H938" s="217"/>
    </row>
    <row r="939" ht="12.75" customHeight="1">
      <c r="D939" s="217"/>
      <c r="E939" s="217"/>
      <c r="F939" s="217"/>
      <c r="G939" s="217"/>
      <c r="H939" s="217"/>
    </row>
    <row r="940" ht="12.75" customHeight="1">
      <c r="D940" s="217"/>
      <c r="E940" s="217"/>
      <c r="F940" s="217"/>
      <c r="G940" s="217"/>
      <c r="H940" s="217"/>
    </row>
    <row r="941" ht="12.75" customHeight="1">
      <c r="D941" s="217"/>
      <c r="E941" s="217"/>
      <c r="F941" s="217"/>
      <c r="G941" s="217"/>
      <c r="H941" s="217"/>
    </row>
    <row r="942" ht="12.75" customHeight="1">
      <c r="D942" s="217"/>
      <c r="E942" s="217"/>
      <c r="F942" s="217"/>
      <c r="G942" s="217"/>
      <c r="H942" s="217"/>
    </row>
    <row r="943" ht="12.75" customHeight="1">
      <c r="D943" s="217"/>
      <c r="E943" s="217"/>
      <c r="F943" s="217"/>
      <c r="G943" s="217"/>
      <c r="H943" s="217"/>
    </row>
    <row r="944" ht="12.75" customHeight="1">
      <c r="D944" s="217"/>
      <c r="E944" s="217"/>
      <c r="F944" s="217"/>
      <c r="G944" s="217"/>
      <c r="H944" s="217"/>
    </row>
    <row r="945" ht="12.75" customHeight="1">
      <c r="D945" s="217"/>
      <c r="E945" s="217"/>
      <c r="F945" s="217"/>
      <c r="G945" s="217"/>
      <c r="H945" s="217"/>
    </row>
    <row r="946" ht="12.75" customHeight="1">
      <c r="D946" s="217"/>
      <c r="E946" s="217"/>
      <c r="F946" s="217"/>
      <c r="G946" s="217"/>
      <c r="H946" s="217"/>
    </row>
    <row r="947" ht="12.75" customHeight="1">
      <c r="D947" s="217"/>
      <c r="E947" s="217"/>
      <c r="F947" s="217"/>
      <c r="G947" s="217"/>
      <c r="H947" s="217"/>
    </row>
    <row r="948" ht="12.75" customHeight="1">
      <c r="D948" s="217"/>
      <c r="E948" s="217"/>
      <c r="F948" s="217"/>
      <c r="G948" s="217"/>
      <c r="H948" s="217"/>
    </row>
    <row r="949" ht="12.75" customHeight="1">
      <c r="D949" s="217"/>
      <c r="E949" s="217"/>
      <c r="F949" s="217"/>
      <c r="G949" s="217"/>
      <c r="H949" s="217"/>
    </row>
    <row r="950" ht="12.75" customHeight="1">
      <c r="D950" s="217"/>
      <c r="E950" s="217"/>
      <c r="F950" s="217"/>
      <c r="G950" s="217"/>
      <c r="H950" s="217"/>
    </row>
    <row r="951" ht="12.75" customHeight="1">
      <c r="D951" s="217"/>
      <c r="E951" s="217"/>
      <c r="F951" s="217"/>
      <c r="G951" s="217"/>
      <c r="H951" s="217"/>
    </row>
    <row r="952" ht="12.75" customHeight="1">
      <c r="D952" s="217"/>
      <c r="E952" s="217"/>
      <c r="F952" s="217"/>
      <c r="G952" s="217"/>
      <c r="H952" s="217"/>
    </row>
    <row r="953" ht="12.75" customHeight="1">
      <c r="D953" s="217"/>
      <c r="E953" s="217"/>
      <c r="F953" s="217"/>
      <c r="G953" s="217"/>
      <c r="H953" s="217"/>
    </row>
    <row r="954" ht="12.75" customHeight="1">
      <c r="D954" s="217"/>
      <c r="E954" s="217"/>
      <c r="F954" s="217"/>
      <c r="G954" s="217"/>
      <c r="H954" s="217"/>
    </row>
    <row r="955" ht="12.75" customHeight="1">
      <c r="D955" s="217"/>
      <c r="E955" s="217"/>
      <c r="F955" s="217"/>
      <c r="G955" s="217"/>
      <c r="H955" s="217"/>
    </row>
    <row r="956" ht="12.75" customHeight="1">
      <c r="D956" s="217"/>
      <c r="E956" s="217"/>
      <c r="F956" s="217"/>
      <c r="G956" s="217"/>
      <c r="H956" s="217"/>
    </row>
    <row r="957" ht="12.75" customHeight="1">
      <c r="D957" s="217"/>
      <c r="E957" s="217"/>
      <c r="F957" s="217"/>
      <c r="G957" s="217"/>
      <c r="H957" s="217"/>
    </row>
    <row r="958" ht="12.75" customHeight="1">
      <c r="D958" s="217"/>
      <c r="E958" s="217"/>
      <c r="F958" s="217"/>
      <c r="G958" s="217"/>
      <c r="H958" s="217"/>
    </row>
    <row r="959" ht="12.75" customHeight="1">
      <c r="D959" s="217"/>
      <c r="E959" s="217"/>
      <c r="F959" s="217"/>
      <c r="G959" s="217"/>
      <c r="H959" s="217"/>
    </row>
    <row r="960" ht="12.75" customHeight="1">
      <c r="D960" s="217"/>
      <c r="E960" s="217"/>
      <c r="F960" s="217"/>
      <c r="G960" s="217"/>
      <c r="H960" s="217"/>
    </row>
    <row r="961" ht="12.75" customHeight="1">
      <c r="D961" s="217"/>
      <c r="E961" s="217"/>
      <c r="F961" s="217"/>
      <c r="G961" s="217"/>
      <c r="H961" s="217"/>
    </row>
    <row r="962" ht="12.75" customHeight="1">
      <c r="D962" s="217"/>
      <c r="E962" s="217"/>
      <c r="F962" s="217"/>
      <c r="G962" s="217"/>
      <c r="H962" s="217"/>
    </row>
    <row r="963" ht="12.75" customHeight="1">
      <c r="D963" s="217"/>
      <c r="E963" s="217"/>
      <c r="F963" s="217"/>
      <c r="G963" s="217"/>
      <c r="H963" s="217"/>
    </row>
    <row r="964" ht="12.75" customHeight="1">
      <c r="D964" s="217"/>
      <c r="E964" s="217"/>
      <c r="F964" s="217"/>
      <c r="G964" s="217"/>
      <c r="H964" s="217"/>
    </row>
    <row r="965" ht="12.75" customHeight="1">
      <c r="D965" s="217"/>
      <c r="E965" s="217"/>
      <c r="F965" s="217"/>
      <c r="G965" s="217"/>
      <c r="H965" s="217"/>
    </row>
    <row r="966" ht="12.75" customHeight="1">
      <c r="D966" s="217"/>
      <c r="E966" s="217"/>
      <c r="F966" s="217"/>
      <c r="G966" s="217"/>
      <c r="H966" s="217"/>
    </row>
    <row r="967" ht="12.75" customHeight="1">
      <c r="D967" s="217"/>
      <c r="E967" s="217"/>
      <c r="F967" s="217"/>
      <c r="G967" s="217"/>
      <c r="H967" s="217"/>
    </row>
    <row r="968" ht="12.75" customHeight="1">
      <c r="D968" s="217"/>
      <c r="E968" s="217"/>
      <c r="F968" s="217"/>
      <c r="G968" s="217"/>
      <c r="H968" s="217"/>
    </row>
    <row r="969" ht="12.75" customHeight="1">
      <c r="D969" s="217"/>
      <c r="E969" s="217"/>
      <c r="F969" s="217"/>
      <c r="G969" s="217"/>
      <c r="H969" s="217"/>
    </row>
    <row r="970" ht="12.75" customHeight="1">
      <c r="D970" s="217"/>
      <c r="E970" s="217"/>
      <c r="F970" s="217"/>
      <c r="G970" s="217"/>
      <c r="H970" s="217"/>
    </row>
    <row r="971" ht="12.75" customHeight="1">
      <c r="D971" s="217"/>
      <c r="E971" s="217"/>
      <c r="F971" s="217"/>
      <c r="G971" s="217"/>
      <c r="H971" s="217"/>
    </row>
    <row r="972" ht="12.75" customHeight="1">
      <c r="D972" s="217"/>
      <c r="E972" s="217"/>
      <c r="F972" s="217"/>
      <c r="G972" s="217"/>
      <c r="H972" s="217"/>
    </row>
    <row r="973" ht="12.75" customHeight="1">
      <c r="D973" s="217"/>
      <c r="E973" s="217"/>
      <c r="F973" s="217"/>
      <c r="G973" s="217"/>
      <c r="H973" s="217"/>
    </row>
    <row r="974" ht="12.75" customHeight="1">
      <c r="D974" s="217"/>
      <c r="E974" s="217"/>
      <c r="F974" s="217"/>
      <c r="G974" s="217"/>
      <c r="H974" s="217"/>
    </row>
    <row r="975" ht="12.75" customHeight="1">
      <c r="D975" s="217"/>
      <c r="E975" s="217"/>
      <c r="F975" s="217"/>
      <c r="G975" s="217"/>
      <c r="H975" s="217"/>
    </row>
    <row r="976" ht="12.75" customHeight="1">
      <c r="D976" s="217"/>
      <c r="E976" s="217"/>
      <c r="F976" s="217"/>
      <c r="G976" s="217"/>
      <c r="H976" s="217"/>
    </row>
    <row r="977" ht="12.75" customHeight="1">
      <c r="D977" s="217"/>
      <c r="E977" s="217"/>
      <c r="F977" s="217"/>
      <c r="G977" s="217"/>
      <c r="H977" s="217"/>
    </row>
    <row r="978" ht="12.75" customHeight="1">
      <c r="D978" s="217"/>
      <c r="E978" s="217"/>
      <c r="F978" s="217"/>
      <c r="G978" s="217"/>
      <c r="H978" s="217"/>
    </row>
    <row r="979" ht="12.75" customHeight="1">
      <c r="D979" s="217"/>
      <c r="E979" s="217"/>
      <c r="F979" s="217"/>
      <c r="G979" s="217"/>
      <c r="H979" s="217"/>
    </row>
    <row r="980" ht="12.75" customHeight="1">
      <c r="D980" s="217"/>
      <c r="E980" s="217"/>
      <c r="F980" s="217"/>
      <c r="G980" s="217"/>
      <c r="H980" s="217"/>
    </row>
    <row r="981" ht="12.75" customHeight="1">
      <c r="D981" s="217"/>
      <c r="E981" s="217"/>
      <c r="F981" s="217"/>
      <c r="G981" s="217"/>
      <c r="H981" s="217"/>
    </row>
    <row r="982" ht="12.75" customHeight="1">
      <c r="D982" s="217"/>
      <c r="E982" s="217"/>
      <c r="F982" s="217"/>
      <c r="G982" s="217"/>
      <c r="H982" s="217"/>
    </row>
    <row r="983" ht="12.75" customHeight="1">
      <c r="D983" s="217"/>
      <c r="E983" s="217"/>
      <c r="F983" s="217"/>
      <c r="G983" s="217"/>
      <c r="H983" s="217"/>
    </row>
    <row r="984" ht="12.75" customHeight="1">
      <c r="D984" s="217"/>
      <c r="E984" s="217"/>
      <c r="F984" s="217"/>
      <c r="G984" s="217"/>
      <c r="H984" s="217"/>
    </row>
    <row r="985" ht="12.75" customHeight="1">
      <c r="D985" s="217"/>
      <c r="E985" s="217"/>
      <c r="F985" s="217"/>
      <c r="G985" s="217"/>
      <c r="H985" s="217"/>
    </row>
    <row r="986" ht="12.75" customHeight="1">
      <c r="D986" s="217"/>
      <c r="E986" s="217"/>
      <c r="F986" s="217"/>
      <c r="G986" s="217"/>
      <c r="H986" s="217"/>
    </row>
    <row r="987" ht="12.75" customHeight="1">
      <c r="D987" s="217"/>
      <c r="E987" s="217"/>
      <c r="F987" s="217"/>
      <c r="G987" s="217"/>
      <c r="H987" s="217"/>
    </row>
    <row r="988" ht="12.75" customHeight="1">
      <c r="D988" s="217"/>
      <c r="E988" s="217"/>
      <c r="F988" s="217"/>
      <c r="G988" s="217"/>
      <c r="H988" s="217"/>
    </row>
    <row r="989" ht="12.75" customHeight="1">
      <c r="D989" s="217"/>
      <c r="E989" s="217"/>
      <c r="F989" s="217"/>
      <c r="G989" s="217"/>
      <c r="H989" s="217"/>
    </row>
    <row r="990" ht="12.75" customHeight="1">
      <c r="D990" s="217"/>
      <c r="E990" s="217"/>
      <c r="F990" s="217"/>
      <c r="G990" s="217"/>
      <c r="H990" s="217"/>
    </row>
    <row r="991" ht="12.75" customHeight="1">
      <c r="D991" s="217"/>
      <c r="E991" s="217"/>
      <c r="F991" s="217"/>
      <c r="G991" s="217"/>
      <c r="H991" s="217"/>
    </row>
    <row r="992" ht="12.75" customHeight="1">
      <c r="D992" s="217"/>
      <c r="E992" s="217"/>
      <c r="F992" s="217"/>
      <c r="G992" s="217"/>
      <c r="H992" s="217"/>
    </row>
    <row r="993" ht="12.75" customHeight="1">
      <c r="D993" s="217"/>
      <c r="E993" s="217"/>
      <c r="F993" s="217"/>
      <c r="G993" s="217"/>
      <c r="H993" s="217"/>
    </row>
    <row r="994" ht="12.75" customHeight="1">
      <c r="D994" s="217"/>
      <c r="E994" s="217"/>
      <c r="F994" s="217"/>
      <c r="G994" s="217"/>
      <c r="H994" s="217"/>
    </row>
    <row r="995" ht="12.75" customHeight="1">
      <c r="D995" s="217"/>
      <c r="E995" s="217"/>
      <c r="F995" s="217"/>
      <c r="G995" s="217"/>
      <c r="H995" s="217"/>
    </row>
    <row r="996" ht="12.75" customHeight="1">
      <c r="D996" s="217"/>
      <c r="E996" s="217"/>
      <c r="F996" s="217"/>
      <c r="G996" s="217"/>
      <c r="H996" s="217"/>
    </row>
    <row r="997" ht="12.75" customHeight="1">
      <c r="D997" s="217"/>
      <c r="E997" s="217"/>
      <c r="F997" s="217"/>
      <c r="G997" s="217"/>
      <c r="H997" s="217"/>
    </row>
    <row r="998" ht="12.75" customHeight="1">
      <c r="D998" s="217"/>
      <c r="E998" s="217"/>
      <c r="F998" s="217"/>
      <c r="G998" s="217"/>
      <c r="H998" s="217"/>
    </row>
    <row r="999" ht="12.75" customHeight="1">
      <c r="D999" s="217"/>
      <c r="E999" s="217"/>
      <c r="F999" s="217"/>
      <c r="G999" s="217"/>
      <c r="H999" s="217"/>
    </row>
    <row r="1000" ht="12.75" customHeight="1">
      <c r="D1000" s="217"/>
      <c r="E1000" s="217"/>
      <c r="F1000" s="217"/>
      <c r="G1000" s="217"/>
      <c r="H1000" s="217"/>
    </row>
    <row r="1001" ht="12.75" customHeight="1">
      <c r="D1001" s="217"/>
      <c r="E1001" s="217"/>
      <c r="F1001" s="217"/>
      <c r="G1001" s="217"/>
      <c r="H1001" s="217"/>
    </row>
    <row r="1002" ht="12.75" customHeight="1">
      <c r="D1002" s="217"/>
      <c r="E1002" s="217"/>
      <c r="F1002" s="217"/>
      <c r="G1002" s="217"/>
      <c r="H1002" s="217"/>
    </row>
    <row r="1003" ht="12.75" customHeight="1">
      <c r="D1003" s="217"/>
      <c r="E1003" s="217"/>
      <c r="F1003" s="217"/>
      <c r="G1003" s="217"/>
      <c r="H1003" s="217"/>
    </row>
  </sheetData>
  <mergeCells count="22">
    <mergeCell ref="A1:H1"/>
    <mergeCell ref="A3:A4"/>
    <mergeCell ref="B3:B4"/>
    <mergeCell ref="A6:A9"/>
    <mergeCell ref="B6:B9"/>
    <mergeCell ref="A11:A17"/>
    <mergeCell ref="B11:B17"/>
    <mergeCell ref="A27:A28"/>
    <mergeCell ref="A29:A33"/>
    <mergeCell ref="B29:B33"/>
    <mergeCell ref="A35:A36"/>
    <mergeCell ref="B35:B36"/>
    <mergeCell ref="A37:A39"/>
    <mergeCell ref="B37:B39"/>
    <mergeCell ref="A43:C43"/>
    <mergeCell ref="A18:A19"/>
    <mergeCell ref="B18:B19"/>
    <mergeCell ref="A20:A23"/>
    <mergeCell ref="B20:B23"/>
    <mergeCell ref="A24:A26"/>
    <mergeCell ref="B24:B26"/>
    <mergeCell ref="B27:B28"/>
  </mergeCells>
  <printOptions/>
  <pageMargins bottom="0.13" footer="0.0" header="0.0" left="0.7" right="0.53" top="0.16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2025-08-24T16:15:39Z</dcterms:created>
  <dc:creator>Akhil</dc:creator>
</cp:coreProperties>
</file>